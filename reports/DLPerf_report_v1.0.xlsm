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eflow\Desktop\OneFlow\Benchmark\"/>
    </mc:Choice>
  </mc:AlternateContent>
  <xr:revisionPtr revIDLastSave="0" documentId="13_ncr:1_{FB61A847-3C8D-498D-BD85-85FBE8C9CC91}" xr6:coauthVersionLast="45" xr6:coauthVersionMax="45" xr10:uidLastSave="{00000000-0000-0000-0000-000000000000}"/>
  <bookViews>
    <workbookView xWindow="14303" yWindow="-8115" windowWidth="28995" windowHeight="15795" xr2:uid="{77AF6160-6B3A-2B4D-9BA0-D6BAE454D8FE}"/>
  </bookViews>
  <sheets>
    <sheet name="r50_fp32_bz128" sheetId="7" r:id="rId1"/>
    <sheet name="r50_amp_bz256" sheetId="8" r:id="rId2"/>
    <sheet name="bert_fp32_bz32" sheetId="9" r:id="rId3"/>
    <sheet name="bert_fp32_bz_max" sheetId="14" r:id="rId4"/>
    <sheet name="bert_amp_bz64" sheetId="15" r:id="rId5"/>
    <sheet name="bert_amp_bz_max" sheetId="16" r:id="rId6"/>
    <sheet name="old_bert_base_bz_32" sheetId="1" r:id="rId7"/>
    <sheet name="old_bert_base_bz_64" sheetId="4" r:id="rId8"/>
    <sheet name="old_bert_base_bz_96" sheetId="5" r:id="rId9"/>
    <sheet name="old_r50_bz128" sheetId="2" r:id="rId10"/>
    <sheet name="old_of_bert_base" sheetId="6" r:id="rId1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6" l="1"/>
  <c r="Q5" i="16"/>
  <c r="P5" i="16"/>
  <c r="O5" i="16"/>
  <c r="N5" i="16"/>
  <c r="M5" i="16"/>
  <c r="L5" i="16"/>
  <c r="K5" i="16"/>
  <c r="R4" i="16"/>
  <c r="Q4" i="16"/>
  <c r="P4" i="16"/>
  <c r="O4" i="16"/>
  <c r="N4" i="16"/>
  <c r="M4" i="16"/>
  <c r="L4" i="16"/>
  <c r="K4" i="16"/>
  <c r="R3" i="16"/>
  <c r="Q3" i="16"/>
  <c r="P3" i="16"/>
  <c r="O3" i="16"/>
  <c r="N3" i="16"/>
  <c r="M3" i="16"/>
  <c r="L3" i="16"/>
  <c r="K3" i="16"/>
  <c r="R2" i="16"/>
  <c r="Q2" i="16"/>
  <c r="P2" i="16"/>
  <c r="O2" i="16"/>
  <c r="N2" i="16"/>
  <c r="M2" i="16"/>
  <c r="L2" i="16"/>
  <c r="K2" i="16"/>
  <c r="R5" i="15"/>
  <c r="Q5" i="15"/>
  <c r="P5" i="15"/>
  <c r="O5" i="15"/>
  <c r="N5" i="15"/>
  <c r="M5" i="15"/>
  <c r="L5" i="15"/>
  <c r="K5" i="15"/>
  <c r="R4" i="15"/>
  <c r="Q4" i="15"/>
  <c r="P4" i="15"/>
  <c r="O4" i="15"/>
  <c r="N4" i="15"/>
  <c r="M4" i="15"/>
  <c r="L4" i="15"/>
  <c r="K4" i="15"/>
  <c r="R3" i="15"/>
  <c r="Q3" i="15"/>
  <c r="P3" i="15"/>
  <c r="O3" i="15"/>
  <c r="N3" i="15"/>
  <c r="M3" i="15"/>
  <c r="L3" i="15"/>
  <c r="K3" i="15"/>
  <c r="R2" i="15"/>
  <c r="Q2" i="15"/>
  <c r="P2" i="15"/>
  <c r="O2" i="15"/>
  <c r="N2" i="15"/>
  <c r="M2" i="15"/>
  <c r="L2" i="15"/>
  <c r="K2" i="15"/>
  <c r="R5" i="14"/>
  <c r="Q5" i="14"/>
  <c r="P5" i="14"/>
  <c r="O5" i="14"/>
  <c r="N5" i="14"/>
  <c r="M5" i="14"/>
  <c r="L5" i="14"/>
  <c r="K5" i="14"/>
  <c r="R4" i="14"/>
  <c r="Q4" i="14"/>
  <c r="P4" i="14"/>
  <c r="O4" i="14"/>
  <c r="N4" i="14"/>
  <c r="M4" i="14"/>
  <c r="L4" i="14"/>
  <c r="K4" i="14"/>
  <c r="R3" i="14"/>
  <c r="Q3" i="14"/>
  <c r="P3" i="14"/>
  <c r="O3" i="14"/>
  <c r="N3" i="14"/>
  <c r="M3" i="14"/>
  <c r="L3" i="14"/>
  <c r="K3" i="14"/>
  <c r="R2" i="14"/>
  <c r="Q2" i="14"/>
  <c r="P2" i="14"/>
  <c r="O2" i="14"/>
  <c r="N2" i="14"/>
  <c r="M2" i="14"/>
  <c r="L2" i="14"/>
  <c r="K2" i="14"/>
  <c r="R2" i="9" l="1"/>
  <c r="R3" i="9"/>
  <c r="R4" i="9"/>
  <c r="R5" i="9"/>
  <c r="M2" i="9"/>
  <c r="M3" i="9"/>
  <c r="M4" i="9"/>
  <c r="M5" i="9"/>
  <c r="O2" i="9"/>
  <c r="O3" i="9"/>
  <c r="O4" i="9"/>
  <c r="O5" i="9"/>
  <c r="Q5" i="9" l="1"/>
  <c r="P5" i="9"/>
  <c r="N5" i="9"/>
  <c r="L5" i="9"/>
  <c r="K5" i="9"/>
  <c r="Q4" i="9"/>
  <c r="P4" i="9"/>
  <c r="N4" i="9"/>
  <c r="L4" i="9"/>
  <c r="K4" i="9"/>
  <c r="Q3" i="9"/>
  <c r="P3" i="9"/>
  <c r="N3" i="9"/>
  <c r="L3" i="9"/>
  <c r="K3" i="9"/>
  <c r="Q2" i="9"/>
  <c r="P2" i="9"/>
  <c r="N2" i="9"/>
  <c r="L2" i="9"/>
  <c r="K2" i="9"/>
  <c r="M3" i="8" l="1"/>
  <c r="M4" i="8"/>
  <c r="M5" i="8"/>
  <c r="N3" i="8"/>
  <c r="N4" i="8"/>
  <c r="N5" i="8"/>
  <c r="O3" i="8"/>
  <c r="O4" i="8"/>
  <c r="O5" i="8"/>
  <c r="P3" i="8"/>
  <c r="P4" i="8"/>
  <c r="P5" i="8"/>
  <c r="Q3" i="8"/>
  <c r="Q4" i="8"/>
  <c r="Q5" i="8"/>
  <c r="R3" i="8"/>
  <c r="R4" i="8"/>
  <c r="R5" i="8"/>
  <c r="L2" i="8"/>
  <c r="M2" i="8"/>
  <c r="N2" i="8"/>
  <c r="O2" i="8"/>
  <c r="P2" i="8"/>
  <c r="Q2" i="8"/>
  <c r="R2" i="8"/>
  <c r="L3" i="8"/>
  <c r="L4" i="8"/>
  <c r="L5" i="8"/>
  <c r="K5" i="8"/>
  <c r="K4" i="8"/>
  <c r="K3" i="8"/>
  <c r="K2" i="8"/>
  <c r="N5" i="7" l="1"/>
  <c r="N4" i="7"/>
  <c r="N3" i="7"/>
  <c r="N2" i="7"/>
  <c r="O2" i="7"/>
  <c r="L2" i="7"/>
  <c r="L3" i="7"/>
  <c r="L5" i="7"/>
  <c r="L4" i="7"/>
  <c r="P5" i="7"/>
  <c r="O5" i="7"/>
  <c r="M5" i="7"/>
  <c r="K5" i="7"/>
  <c r="J5" i="7"/>
  <c r="P4" i="7"/>
  <c r="O4" i="7"/>
  <c r="M4" i="7"/>
  <c r="K4" i="7"/>
  <c r="J4" i="7"/>
  <c r="P3" i="7"/>
  <c r="O3" i="7"/>
  <c r="M3" i="7"/>
  <c r="K3" i="7"/>
  <c r="J3" i="7"/>
  <c r="P2" i="7"/>
  <c r="M2" i="7"/>
  <c r="K2" i="7"/>
  <c r="J2" i="7"/>
  <c r="N2" i="6" l="1"/>
  <c r="O2" i="6"/>
  <c r="P2" i="6"/>
  <c r="Q2" i="6"/>
  <c r="N3" i="6"/>
  <c r="O3" i="6"/>
  <c r="P3" i="6"/>
  <c r="Q3" i="6"/>
  <c r="N4" i="6"/>
  <c r="O4" i="6"/>
  <c r="P4" i="6"/>
  <c r="Q4" i="6"/>
  <c r="N5" i="6"/>
  <c r="O5" i="6"/>
  <c r="P5" i="6"/>
  <c r="Q5" i="6"/>
  <c r="M3" i="6"/>
  <c r="M4" i="6"/>
  <c r="M5" i="6"/>
  <c r="M2" i="6"/>
  <c r="L5" i="6"/>
  <c r="K5" i="6"/>
  <c r="J5" i="6"/>
  <c r="I5" i="6"/>
  <c r="H5" i="6"/>
  <c r="L4" i="6"/>
  <c r="K4" i="6"/>
  <c r="J4" i="6"/>
  <c r="I4" i="6"/>
  <c r="H4" i="6"/>
  <c r="L3" i="6"/>
  <c r="K3" i="6"/>
  <c r="J3" i="6"/>
  <c r="I3" i="6"/>
  <c r="H3" i="6"/>
  <c r="L2" i="6"/>
  <c r="K2" i="6"/>
  <c r="J2" i="6"/>
  <c r="I2" i="6"/>
  <c r="H2" i="6"/>
  <c r="N5" i="2" l="1"/>
  <c r="N4" i="2"/>
  <c r="N3" i="2"/>
  <c r="N2" i="2"/>
  <c r="L5" i="5"/>
  <c r="K5" i="5"/>
  <c r="J5" i="5"/>
  <c r="I5" i="5"/>
  <c r="H5" i="5"/>
  <c r="L4" i="5"/>
  <c r="K4" i="5"/>
  <c r="J4" i="5"/>
  <c r="I4" i="5"/>
  <c r="H4" i="5"/>
  <c r="L3" i="5"/>
  <c r="K3" i="5"/>
  <c r="J3" i="5"/>
  <c r="I3" i="5"/>
  <c r="H3" i="5"/>
  <c r="L2" i="5"/>
  <c r="K2" i="5"/>
  <c r="J2" i="5"/>
  <c r="I2" i="5"/>
  <c r="H2" i="5"/>
  <c r="L5" i="4"/>
  <c r="K5" i="4"/>
  <c r="J5" i="4"/>
  <c r="I5" i="4"/>
  <c r="H5" i="4"/>
  <c r="L4" i="4"/>
  <c r="K4" i="4"/>
  <c r="J4" i="4"/>
  <c r="I4" i="4"/>
  <c r="H4" i="4"/>
  <c r="L3" i="4"/>
  <c r="K3" i="4"/>
  <c r="J3" i="4"/>
  <c r="I3" i="4"/>
  <c r="H3" i="4"/>
  <c r="L2" i="4"/>
  <c r="K2" i="4"/>
  <c r="J2" i="4"/>
  <c r="I2" i="4"/>
  <c r="H2" i="4"/>
  <c r="L5" i="1"/>
  <c r="K5" i="1"/>
  <c r="J5" i="1"/>
  <c r="I5" i="1"/>
  <c r="H5" i="1"/>
  <c r="L4" i="1"/>
  <c r="K4" i="1"/>
  <c r="J4" i="1"/>
  <c r="I4" i="1"/>
  <c r="H4" i="1"/>
  <c r="L3" i="1"/>
  <c r="K3" i="1"/>
  <c r="J3" i="1"/>
  <c r="I3" i="1"/>
  <c r="H3" i="1"/>
  <c r="L2" i="1"/>
  <c r="K2" i="1"/>
  <c r="J2" i="1"/>
  <c r="I2" i="1"/>
  <c r="H2" i="1"/>
  <c r="L5" i="2"/>
  <c r="L4" i="2"/>
  <c r="L3" i="2"/>
  <c r="L2" i="2"/>
  <c r="K5" i="2"/>
  <c r="K4" i="2"/>
  <c r="K3" i="2"/>
  <c r="K2" i="2"/>
  <c r="J5" i="2"/>
  <c r="J4" i="2"/>
  <c r="J3" i="2"/>
  <c r="J2" i="2"/>
  <c r="M5" i="2"/>
  <c r="M4" i="2"/>
  <c r="M3" i="2"/>
  <c r="M2" i="2"/>
  <c r="I3" i="2"/>
  <c r="I2" i="2"/>
  <c r="I4" i="2" l="1"/>
  <c r="I5" i="2"/>
</calcChain>
</file>

<file path=xl/sharedStrings.xml><?xml version="1.0" encoding="utf-8"?>
<sst xmlns="http://schemas.openxmlformats.org/spreadsheetml/2006/main" count="194" uniqueCount="47">
  <si>
    <t>device num</t>
  </si>
  <si>
    <t>node num</t>
  </si>
  <si>
    <r>
      <t>O</t>
    </r>
    <r>
      <rPr>
        <sz val="11"/>
        <color theme="1"/>
        <rFont val="等线"/>
        <family val="2"/>
        <scheme val="minor"/>
      </rPr>
      <t>neFlow</t>
    </r>
    <phoneticPr fontId="8" type="noConversion"/>
  </si>
  <si>
    <r>
      <t>T</t>
    </r>
    <r>
      <rPr>
        <sz val="11"/>
        <color theme="1"/>
        <rFont val="等线"/>
        <family val="2"/>
        <scheme val="minor"/>
      </rPr>
      <t>ensorFlow 1.x</t>
    </r>
    <phoneticPr fontId="8" type="noConversion"/>
  </si>
  <si>
    <r>
      <t>M</t>
    </r>
    <r>
      <rPr>
        <sz val="11"/>
        <color theme="1"/>
        <rFont val="等线"/>
        <family val="2"/>
        <scheme val="minor"/>
      </rPr>
      <t>XNet</t>
    </r>
    <phoneticPr fontId="8" type="noConversion"/>
  </si>
  <si>
    <r>
      <t>P</t>
    </r>
    <r>
      <rPr>
        <sz val="11"/>
        <color theme="1"/>
        <rFont val="等线"/>
        <family val="2"/>
        <scheme val="minor"/>
      </rPr>
      <t>yTorch</t>
    </r>
    <phoneticPr fontId="8" type="noConversion"/>
  </si>
  <si>
    <r>
      <t>P</t>
    </r>
    <r>
      <rPr>
        <sz val="11"/>
        <color theme="1"/>
        <rFont val="等线"/>
        <family val="2"/>
        <scheme val="minor"/>
      </rPr>
      <t>addlePaddle</t>
    </r>
    <phoneticPr fontId="8" type="noConversion"/>
  </si>
  <si>
    <r>
      <t>T</t>
    </r>
    <r>
      <rPr>
        <sz val="11"/>
        <color theme="1"/>
        <rFont val="等线"/>
        <family val="2"/>
        <scheme val="minor"/>
      </rPr>
      <t>ensorFlow 2.x</t>
    </r>
    <phoneticPr fontId="8" type="noConversion"/>
  </si>
  <si>
    <t>OOM</t>
  </si>
  <si>
    <r>
      <t>O</t>
    </r>
    <r>
      <rPr>
        <sz val="11"/>
        <color theme="1"/>
        <rFont val="等线"/>
        <family val="2"/>
        <scheme val="minor"/>
      </rPr>
      <t>neFlow</t>
    </r>
    <phoneticPr fontId="8" type="noConversion"/>
  </si>
  <si>
    <r>
      <t>T</t>
    </r>
    <r>
      <rPr>
        <sz val="11"/>
        <color theme="1"/>
        <rFont val="等线"/>
        <family val="2"/>
        <scheme val="minor"/>
      </rPr>
      <t>ensorFlow 1.x</t>
    </r>
    <phoneticPr fontId="8" type="noConversion"/>
  </si>
  <si>
    <r>
      <t>P</t>
    </r>
    <r>
      <rPr>
        <sz val="11"/>
        <color theme="1"/>
        <rFont val="等线"/>
        <family val="2"/>
        <scheme val="minor"/>
      </rPr>
      <t>yTorch</t>
    </r>
    <phoneticPr fontId="8" type="noConversion"/>
  </si>
  <si>
    <r>
      <t>P</t>
    </r>
    <r>
      <rPr>
        <sz val="11"/>
        <color theme="1"/>
        <rFont val="等线"/>
        <family val="2"/>
        <scheme val="minor"/>
      </rPr>
      <t>addlePaddle</t>
    </r>
    <phoneticPr fontId="8" type="noConversion"/>
  </si>
  <si>
    <t>TODO</t>
  </si>
  <si>
    <r>
      <t>T</t>
    </r>
    <r>
      <rPr>
        <sz val="11"/>
        <color theme="1"/>
        <rFont val="等线"/>
        <family val="2"/>
        <scheme val="minor"/>
      </rPr>
      <t>ensorFlow1.x</t>
    </r>
    <phoneticPr fontId="8" type="noConversion"/>
  </si>
  <si>
    <r>
      <t>T</t>
    </r>
    <r>
      <rPr>
        <sz val="11"/>
        <color theme="1"/>
        <rFont val="等线"/>
        <family val="2"/>
        <scheme val="minor"/>
      </rPr>
      <t>ensorFlow2.x</t>
    </r>
    <phoneticPr fontId="8" type="noConversion"/>
  </si>
  <si>
    <t>bsz=96</t>
    <phoneticPr fontId="8" type="noConversion"/>
  </si>
  <si>
    <t>bsz=64</t>
    <phoneticPr fontId="8" type="noConversion"/>
  </si>
  <si>
    <r>
      <t>b</t>
    </r>
    <r>
      <rPr>
        <sz val="11"/>
        <color theme="1"/>
        <rFont val="等线"/>
        <family val="2"/>
        <scheme val="minor"/>
      </rPr>
      <t>sz=24</t>
    </r>
    <phoneticPr fontId="8" type="noConversion"/>
  </si>
  <si>
    <t>bsz=32</t>
  </si>
  <si>
    <t>bsz=48</t>
    <phoneticPr fontId="8" type="noConversion"/>
  </si>
  <si>
    <r>
      <t>1</t>
    </r>
    <r>
      <rPr>
        <sz val="11"/>
        <color theme="1"/>
        <rFont val="等线"/>
        <family val="2"/>
        <scheme val="minor"/>
      </rPr>
      <t xml:space="preserve"> node 1 gpu</t>
    </r>
    <phoneticPr fontId="8" type="noConversion"/>
  </si>
  <si>
    <r>
      <t>1</t>
    </r>
    <r>
      <rPr>
        <sz val="11"/>
        <color theme="1"/>
        <rFont val="等线"/>
        <family val="2"/>
        <scheme val="minor"/>
      </rPr>
      <t xml:space="preserve"> node 8 gpus</t>
    </r>
    <phoneticPr fontId="8" type="noConversion"/>
  </si>
  <si>
    <r>
      <t>2</t>
    </r>
    <r>
      <rPr>
        <sz val="11"/>
        <color theme="1"/>
        <rFont val="等线"/>
        <family val="2"/>
        <scheme val="minor"/>
      </rPr>
      <t xml:space="preserve"> nodes 16 gpus</t>
    </r>
    <phoneticPr fontId="8" type="noConversion"/>
  </si>
  <si>
    <r>
      <t>4</t>
    </r>
    <r>
      <rPr>
        <sz val="11"/>
        <color theme="1"/>
        <rFont val="等线"/>
        <family val="2"/>
        <scheme val="minor"/>
      </rPr>
      <t xml:space="preserve"> nodes 32 gpus</t>
    </r>
    <phoneticPr fontId="8" type="noConversion"/>
  </si>
  <si>
    <t>MXNet</t>
    <phoneticPr fontId="8" type="noConversion"/>
  </si>
  <si>
    <t>NGC TensorFlow 1.x</t>
    <phoneticPr fontId="8" type="noConversion"/>
  </si>
  <si>
    <r>
      <rPr>
        <sz val="11"/>
        <color theme="1"/>
        <rFont val="等线"/>
        <family val="2"/>
        <scheme val="minor"/>
      </rPr>
      <t xml:space="preserve">NGC </t>
    </r>
    <r>
      <rPr>
        <sz val="11"/>
        <color theme="1"/>
        <rFont val="等线"/>
        <family val="2"/>
        <scheme val="minor"/>
      </rPr>
      <t>P</t>
    </r>
    <r>
      <rPr>
        <sz val="11"/>
        <color theme="1"/>
        <rFont val="等线"/>
        <family val="2"/>
        <scheme val="minor"/>
      </rPr>
      <t>yTorch</t>
    </r>
    <phoneticPr fontId="8" type="noConversion"/>
  </si>
  <si>
    <t>NGC MXNet</t>
    <phoneticPr fontId="8" type="noConversion"/>
  </si>
  <si>
    <t>PyTorch</t>
    <phoneticPr fontId="8" type="noConversion"/>
  </si>
  <si>
    <r>
      <t>NGC TensorFlow 1.x</t>
    </r>
    <r>
      <rPr>
        <sz val="11"/>
        <color theme="1"/>
        <rFont val="等线"/>
        <family val="2"/>
        <scheme val="minor"/>
      </rPr>
      <t xml:space="preserve"> w/XLA</t>
    </r>
    <phoneticPr fontId="8" type="noConversion"/>
  </si>
  <si>
    <r>
      <t>P</t>
    </r>
    <r>
      <rPr>
        <sz val="11"/>
        <color theme="1"/>
        <rFont val="等线"/>
        <family val="2"/>
        <scheme val="minor"/>
      </rPr>
      <t>addlePaddle w/DALI ref</t>
    </r>
    <phoneticPr fontId="8" type="noConversion"/>
  </si>
  <si>
    <r>
      <t>O</t>
    </r>
    <r>
      <rPr>
        <sz val="11"/>
        <color theme="1"/>
        <rFont val="等线"/>
        <family val="2"/>
        <scheme val="minor"/>
      </rPr>
      <t>neFlow W/O clip</t>
    </r>
    <phoneticPr fontId="8" type="noConversion"/>
  </si>
  <si>
    <r>
      <t>MXNet</t>
    </r>
    <r>
      <rPr>
        <sz val="11"/>
        <color theme="1"/>
        <rFont val="等线"/>
        <family val="2"/>
        <scheme val="minor"/>
      </rPr>
      <t xml:space="preserve"> W/O clip</t>
    </r>
    <phoneticPr fontId="8" type="noConversion"/>
  </si>
  <si>
    <t>OneFlow 
bsz=96</t>
    <phoneticPr fontId="8" type="noConversion"/>
  </si>
  <si>
    <t>NGC TensorFlow 1.x
bsz=48</t>
    <phoneticPr fontId="8" type="noConversion"/>
  </si>
  <si>
    <t>NGC PyTorch
bsz=48</t>
    <phoneticPr fontId="8" type="noConversion"/>
  </si>
  <si>
    <t>MXNet W/O clip
bsz=64</t>
    <phoneticPr fontId="8" type="noConversion"/>
  </si>
  <si>
    <r>
      <t>P</t>
    </r>
    <r>
      <rPr>
        <sz val="11"/>
        <color theme="1"/>
        <rFont val="等线"/>
        <family val="2"/>
        <scheme val="minor"/>
      </rPr>
      <t>addlePaddle
bsz=96</t>
    </r>
    <phoneticPr fontId="8" type="noConversion"/>
  </si>
  <si>
    <t>OneFlow 
bsz=160</t>
    <phoneticPr fontId="8" type="noConversion"/>
  </si>
  <si>
    <t>NGC TensorFlow 1.x
bsz=64</t>
    <phoneticPr fontId="8" type="noConversion"/>
  </si>
  <si>
    <r>
      <t>NGC TensorFlow 1.x</t>
    </r>
    <r>
      <rPr>
        <sz val="11"/>
        <color theme="1"/>
        <rFont val="等线"/>
        <family val="2"/>
        <scheme val="minor"/>
      </rPr>
      <t xml:space="preserve"> w/XLA
bsz=96</t>
    </r>
    <phoneticPr fontId="8" type="noConversion"/>
  </si>
  <si>
    <t>NGC PyTorch
bsz=96</t>
    <phoneticPr fontId="8" type="noConversion"/>
  </si>
  <si>
    <t>MXNet W/O clip
bsz=128</t>
    <phoneticPr fontId="8" type="noConversion"/>
  </si>
  <si>
    <t>PaddlePaddle
bsz=160</t>
    <phoneticPr fontId="8" type="noConversion"/>
  </si>
  <si>
    <r>
      <t>O</t>
    </r>
    <r>
      <rPr>
        <sz val="11"/>
        <color theme="1"/>
        <rFont val="等线"/>
        <family val="2"/>
        <scheme val="minor"/>
      </rPr>
      <t>neFlow W/O clip
bsz=160</t>
    </r>
    <phoneticPr fontId="8" type="noConversion"/>
  </si>
  <si>
    <t>NGC TensorFlow 1.x w/XLA 
bsz=96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</si>
</sst>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18" x14ac:knownFonts="1">
    <font>
      <sz val="12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name val="等线"/>
      <family val="4"/>
      <charset val="134"/>
      <scheme val="minor"/>
    </font>
    <font>
      <sz val="11"/>
      <color rgb="FFFF0000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rgb="FF333333"/>
      <name val="Open Sans"/>
      <family val="2"/>
    </font>
    <font>
      <b/>
      <sz val="8"/>
      <color rgb="FF333333"/>
      <name val="Open Sans"/>
      <family val="2"/>
    </font>
    <font>
      <sz val="8"/>
      <color rgb="FF333333"/>
      <name val="Open Sans"/>
      <family val="2"/>
    </font>
    <font>
      <u/>
      <sz val="12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3">
    <border>
      <left/>
      <right/>
      <top/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/>
      <diagonal/>
    </border>
  </borders>
  <cellStyleXfs count="3">
    <xf numFmtId="0" fontId="0" fillId="0" borderId="0">
      <alignment vertical="center"/>
    </xf>
    <xf numFmtId="0" fontId="9" fillId="0" borderId="0"/>
    <xf numFmtId="0" fontId="17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9" fillId="0" borderId="0" xfId="1"/>
    <xf numFmtId="0" fontId="10" fillId="0" borderId="0" xfId="1" applyFont="1"/>
    <xf numFmtId="0" fontId="11" fillId="0" borderId="0" xfId="0" applyFont="1" applyAlignment="1"/>
    <xf numFmtId="0" fontId="11" fillId="0" borderId="0" xfId="1" applyFont="1"/>
    <xf numFmtId="176" fontId="9" fillId="0" borderId="0" xfId="1" applyNumberFormat="1"/>
    <xf numFmtId="176" fontId="12" fillId="0" borderId="0" xfId="1" applyNumberFormat="1" applyFont="1"/>
    <xf numFmtId="0" fontId="9" fillId="0" borderId="0" xfId="1" applyAlignment="1">
      <alignment wrapText="1"/>
    </xf>
    <xf numFmtId="176" fontId="10" fillId="0" borderId="0" xfId="1" applyNumberFormat="1" applyFont="1"/>
    <xf numFmtId="176" fontId="13" fillId="0" borderId="0" xfId="1" applyNumberFormat="1" applyFont="1"/>
    <xf numFmtId="176" fontId="7" fillId="0" borderId="0" xfId="1" applyNumberFormat="1" applyFont="1"/>
    <xf numFmtId="176" fontId="7" fillId="0" borderId="0" xfId="1" applyNumberFormat="1" applyFont="1" applyAlignment="1">
      <alignment wrapText="1"/>
    </xf>
    <xf numFmtId="176" fontId="6" fillId="0" borderId="0" xfId="1" applyNumberFormat="1" applyFont="1"/>
    <xf numFmtId="176" fontId="6" fillId="0" borderId="0" xfId="1" applyNumberFormat="1" applyFont="1" applyAlignment="1">
      <alignment wrapText="1"/>
    </xf>
    <xf numFmtId="0" fontId="6" fillId="0" borderId="0" xfId="1" applyFont="1"/>
    <xf numFmtId="177" fontId="6" fillId="0" borderId="0" xfId="1" applyNumberFormat="1" applyFont="1" applyAlignment="1">
      <alignment wrapText="1"/>
    </xf>
    <xf numFmtId="177" fontId="7" fillId="0" borderId="0" xfId="1" applyNumberFormat="1" applyFont="1" applyAlignment="1">
      <alignment wrapText="1"/>
    </xf>
    <xf numFmtId="176" fontId="5" fillId="0" borderId="0" xfId="1" applyNumberFormat="1" applyFont="1"/>
    <xf numFmtId="176" fontId="4" fillId="0" borderId="0" xfId="1" applyNumberFormat="1" applyFont="1"/>
    <xf numFmtId="0" fontId="14" fillId="2" borderId="1" xfId="0" applyFont="1" applyFill="1" applyBorder="1" applyAlignment="1">
      <alignment vertical="center" wrapText="1"/>
    </xf>
    <xf numFmtId="0" fontId="14" fillId="3" borderId="1" xfId="0" applyFont="1" applyFill="1" applyBorder="1" applyAlignment="1">
      <alignment vertical="center" wrapText="1"/>
    </xf>
    <xf numFmtId="176" fontId="3" fillId="0" borderId="0" xfId="1" applyNumberFormat="1" applyFont="1"/>
    <xf numFmtId="176" fontId="2" fillId="0" borderId="0" xfId="1" applyNumberFormat="1" applyFont="1"/>
    <xf numFmtId="176" fontId="1" fillId="0" borderId="0" xfId="1" applyNumberFormat="1" applyFont="1" applyAlignment="1">
      <alignment wrapText="1"/>
    </xf>
    <xf numFmtId="0" fontId="15" fillId="2" borderId="2" xfId="0" applyFont="1" applyFill="1" applyBorder="1" applyAlignment="1">
      <alignment horizontal="center" vertical="center" wrapText="1"/>
    </xf>
    <xf numFmtId="0" fontId="17" fillId="2" borderId="2" xfId="2" applyFill="1" applyBorder="1" applyAlignment="1">
      <alignment horizontal="center" vertical="center" wrapText="1"/>
    </xf>
    <xf numFmtId="0" fontId="16" fillId="2" borderId="1" xfId="0" applyFont="1" applyFill="1" applyBorder="1" applyAlignment="1">
      <alignment vertical="center" wrapText="1"/>
    </xf>
    <xf numFmtId="0" fontId="16" fillId="3" borderId="1" xfId="0" applyFont="1" applyFill="1" applyBorder="1" applyAlignment="1">
      <alignment vertical="center" wrapText="1"/>
    </xf>
  </cellXfs>
  <cellStyles count="3">
    <cellStyle name="常规" xfId="0" builtinId="0"/>
    <cellStyle name="常规 2" xfId="1" xr:uid="{7BE467B0-E93D-864A-BA0B-42C0E69FFAA5}"/>
    <cellStyle name="超链接" xfId="2" builtinId="8"/>
  </cellStyles>
  <dxfs count="0"/>
  <tableStyles count="0" defaultTableStyle="TableStyleMedium2" defaultPivotStyle="PivotStyleLight16"/>
  <colors>
    <mruColors>
      <color rgb="FFFF6600"/>
      <color rgb="FFFF9900"/>
      <color rgb="FFFFCC66"/>
      <color rgb="FF0000FF"/>
      <color rgb="FFFF0000"/>
      <color rgb="FF3366FF"/>
      <color rgb="FFCC0000"/>
      <color rgb="FFFF9933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ResNet50v1.5 FP32 batch size=128 Throughput images/sec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'r50_fp32_bz128'!$C$1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'r50_fp32_bz128'!$C$2:$C$5</c:f>
              <c:numCache>
                <c:formatCode>General</c:formatCode>
                <c:ptCount val="4"/>
                <c:pt idx="0">
                  <c:v>397.64</c:v>
                </c:pt>
                <c:pt idx="1">
                  <c:v>3130.34</c:v>
                </c:pt>
                <c:pt idx="2">
                  <c:v>6260.3</c:v>
                </c:pt>
                <c:pt idx="3">
                  <c:v>12411.97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2D4-A045-28AB14B783B0}"/>
            </c:ext>
          </c:extLst>
        </c:ser>
        <c:ser>
          <c:idx val="2"/>
          <c:order val="1"/>
          <c:tx>
            <c:strRef>
              <c:f>'r50_fp32_bz128'!$D$1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66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'r50_fp32_bz128'!$D$2:$D$5</c:f>
              <c:numCache>
                <c:formatCode>General</c:formatCode>
                <c:ptCount val="4"/>
                <c:pt idx="0">
                  <c:v>362.44</c:v>
                </c:pt>
                <c:pt idx="1">
                  <c:v>2721.98</c:v>
                </c:pt>
                <c:pt idx="2">
                  <c:v>5099.42</c:v>
                </c:pt>
                <c:pt idx="3">
                  <c:v>9514.64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99-42D4-A045-28AB14B783B0}"/>
            </c:ext>
          </c:extLst>
        </c:ser>
        <c:ser>
          <c:idx val="3"/>
          <c:order val="2"/>
          <c:tx>
            <c:strRef>
              <c:f>'r50_fp32_bz128'!$E$1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'r50_fp32_bz128'!$E$2:$E$5</c:f>
              <c:numCache>
                <c:formatCode>General</c:formatCode>
                <c:ptCount val="4"/>
                <c:pt idx="0">
                  <c:v>367.29</c:v>
                </c:pt>
                <c:pt idx="1">
                  <c:v>2887.65</c:v>
                </c:pt>
                <c:pt idx="2">
                  <c:v>5716.79</c:v>
                </c:pt>
                <c:pt idx="3">
                  <c:v>10917.09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99-42D4-A045-28AB14B783B0}"/>
            </c:ext>
          </c:extLst>
        </c:ser>
        <c:ser>
          <c:idx val="1"/>
          <c:order val="3"/>
          <c:tx>
            <c:strRef>
              <c:f>'r50_fp32_bz128'!$F$1</c:f>
              <c:strCache>
                <c:ptCount val="1"/>
                <c:pt idx="0">
                  <c:v>NGC MXNet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'r50_fp32_bz128'!$F$2:$F$5</c:f>
              <c:numCache>
                <c:formatCode>General</c:formatCode>
                <c:ptCount val="4"/>
                <c:pt idx="0">
                  <c:v>392.24</c:v>
                </c:pt>
                <c:pt idx="1">
                  <c:v>3006.98</c:v>
                </c:pt>
                <c:pt idx="2">
                  <c:v>5758.49</c:v>
                </c:pt>
                <c:pt idx="3">
                  <c:v>11331.93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99-42D4-A045-28AB14B783B0}"/>
            </c:ext>
          </c:extLst>
        </c:ser>
        <c:ser>
          <c:idx val="4"/>
          <c:order val="4"/>
          <c:tx>
            <c:strRef>
              <c:f>'r50_fp32_bz128'!$G$1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CC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499-42D4-A045-28AB14B783B0}"/>
              </c:ext>
            </c:extLst>
          </c:dPt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'r50_fp32_bz128'!$G$2:$G$5</c:f>
              <c:numCache>
                <c:formatCode>General</c:formatCode>
                <c:ptCount val="4"/>
                <c:pt idx="0">
                  <c:v>348.62</c:v>
                </c:pt>
                <c:pt idx="1">
                  <c:v>2632.93</c:v>
                </c:pt>
                <c:pt idx="2">
                  <c:v>5115.3999999999996</c:v>
                </c:pt>
                <c:pt idx="3">
                  <c:v>10021.290000000001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99-42D4-A045-28AB14B783B0}"/>
            </c:ext>
          </c:extLst>
        </c:ser>
        <c:ser>
          <c:idx val="5"/>
          <c:order val="5"/>
          <c:tx>
            <c:strRef>
              <c:f>'r50_fp32_bz128'!$H$1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'r50_fp32_bz128'!$H$2:$H$5</c:f>
              <c:numCache>
                <c:formatCode>General</c:formatCode>
                <c:ptCount val="4"/>
                <c:pt idx="0">
                  <c:v>352.72</c:v>
                </c:pt>
                <c:pt idx="1">
                  <c:v>2625.38</c:v>
                </c:pt>
                <c:pt idx="2">
                  <c:v>4895.2700000000004</c:v>
                </c:pt>
                <c:pt idx="3">
                  <c:v>9348.17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99-42D4-A045-28AB14B783B0}"/>
            </c:ext>
          </c:extLst>
        </c:ser>
        <c:ser>
          <c:idx val="6"/>
          <c:order val="6"/>
          <c:tx>
            <c:strRef>
              <c:f>'r50_fp32_bz128'!$I$1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'r50_fp32_bz128'!$I$2:$I$5</c:f>
              <c:numCache>
                <c:formatCode>General</c:formatCode>
                <c:ptCount val="4"/>
                <c:pt idx="0">
                  <c:v>321.8</c:v>
                </c:pt>
                <c:pt idx="1">
                  <c:v>2458.7399999999998</c:v>
                </c:pt>
                <c:pt idx="2">
                  <c:v>4849.68</c:v>
                </c:pt>
                <c:pt idx="3">
                  <c:v>9418.44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99-42D4-A045-28AB14B78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ResNet50v1.5 FP32 batch size=128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30222021709171154"/>
          <c:y val="1.7976014052430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strRef>
              <c:f>'r50_fp32_bz128'!$J$1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'r50_fp32_bz128'!$J$2:$J$5</c:f>
              <c:numCache>
                <c:formatCode>0.00_ </c:formatCode>
                <c:ptCount val="4"/>
                <c:pt idx="0">
                  <c:v>1</c:v>
                </c:pt>
                <c:pt idx="1">
                  <c:v>7.8722965496428934</c:v>
                </c:pt>
                <c:pt idx="2">
                  <c:v>15.743637461020018</c:v>
                </c:pt>
                <c:pt idx="3">
                  <c:v>31.214088119907455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189-4999-8382-B7DE50E9AFFE}"/>
            </c:ext>
          </c:extLst>
        </c:ser>
        <c:ser>
          <c:idx val="9"/>
          <c:order val="1"/>
          <c:tx>
            <c:strRef>
              <c:f>'r50_fp32_bz128'!$K$1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'r50_fp32_bz128'!$K$2:$K$5</c:f>
              <c:numCache>
                <c:formatCode>0.00_ </c:formatCode>
                <c:ptCount val="4"/>
                <c:pt idx="0">
                  <c:v>1</c:v>
                </c:pt>
                <c:pt idx="1">
                  <c:v>7.5101534047014677</c:v>
                </c:pt>
                <c:pt idx="2">
                  <c:v>14.069694294228011</c:v>
                </c:pt>
                <c:pt idx="3">
                  <c:v>26.251627855645072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189-4999-8382-B7DE50E9AFFE}"/>
            </c:ext>
          </c:extLst>
        </c:ser>
        <c:ser>
          <c:idx val="10"/>
          <c:order val="2"/>
          <c:tx>
            <c:strRef>
              <c:f>'r50_fp32_bz128'!$L$1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'r50_fp32_bz128'!$L$2:$L$5</c:f>
              <c:numCache>
                <c:formatCode>0.00_ </c:formatCode>
                <c:ptCount val="4"/>
                <c:pt idx="0">
                  <c:v>1</c:v>
                </c:pt>
                <c:pt idx="1">
                  <c:v>7.862043616760598</c:v>
                </c:pt>
                <c:pt idx="2">
                  <c:v>15.564785319502299</c:v>
                </c:pt>
                <c:pt idx="3">
                  <c:v>29.723352119578532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189-4999-8382-B7DE50E9AFFE}"/>
            </c:ext>
          </c:extLst>
        </c:ser>
        <c:ser>
          <c:idx val="11"/>
          <c:order val="3"/>
          <c:tx>
            <c:strRef>
              <c:f>'r50_fp32_bz128'!$M$1</c:f>
              <c:strCache>
                <c:ptCount val="1"/>
                <c:pt idx="0">
                  <c:v>NGC 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'r50_fp32_bz128'!$M$2:$M$5</c:f>
              <c:numCache>
                <c:formatCode>0.00_ </c:formatCode>
                <c:ptCount val="4"/>
                <c:pt idx="0">
                  <c:v>1</c:v>
                </c:pt>
                <c:pt idx="1">
                  <c:v>7.6661737711605138</c:v>
                </c:pt>
                <c:pt idx="2">
                  <c:v>14.681037120130531</c:v>
                </c:pt>
                <c:pt idx="3">
                  <c:v>28.890296757087498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189-4999-8382-B7DE50E9AFFE}"/>
            </c:ext>
          </c:extLst>
        </c:ser>
        <c:ser>
          <c:idx val="12"/>
          <c:order val="4"/>
          <c:tx>
            <c:strRef>
              <c:f>'r50_fp32_bz128'!$N$1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CC0000"/>
              </a:solidFill>
            </a:ln>
          </c:spPr>
          <c:marker>
            <c:spPr>
              <a:solidFill>
                <a:srgbClr val="CC0000"/>
              </a:solidFill>
              <a:ln>
                <a:solidFill>
                  <a:srgbClr val="CC00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'r50_fp32_bz128'!$N$2:$N$5</c:f>
              <c:numCache>
                <c:formatCode>0.00_ </c:formatCode>
                <c:ptCount val="4"/>
                <c:pt idx="0">
                  <c:v>1</c:v>
                </c:pt>
                <c:pt idx="1">
                  <c:v>7.5524353163903388</c:v>
                </c:pt>
                <c:pt idx="2">
                  <c:v>14.673283231025184</c:v>
                </c:pt>
                <c:pt idx="3">
                  <c:v>28.745596925018646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189-4999-8382-B7DE50E9AFFE}"/>
            </c:ext>
          </c:extLst>
        </c:ser>
        <c:ser>
          <c:idx val="13"/>
          <c:order val="5"/>
          <c:tx>
            <c:strRef>
              <c:f>'r50_fp32_bz128'!$O$1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solidFill>
                <a:srgbClr val="0070C0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'r50_fp32_bz128'!$O$2:$O$5</c:f>
              <c:numCache>
                <c:formatCode>0.00_ </c:formatCode>
                <c:ptCount val="4"/>
                <c:pt idx="0">
                  <c:v>1</c:v>
                </c:pt>
                <c:pt idx="1">
                  <c:v>7.4432410977545924</c:v>
                </c:pt>
                <c:pt idx="2">
                  <c:v>13.878628940802903</c:v>
                </c:pt>
                <c:pt idx="3">
                  <c:v>26.503090269902469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189-4999-8382-B7DE50E9AFFE}"/>
            </c:ext>
          </c:extLst>
        </c:ser>
        <c:ser>
          <c:idx val="14"/>
          <c:order val="6"/>
          <c:tx>
            <c:strRef>
              <c:f>'r50_fp32_bz128'!$P$1</c:f>
              <c:strCache>
                <c:ptCount val="1"/>
                <c:pt idx="0">
                  <c:v>TensorFlow2.x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'r50_fp32_bz128'!$P$2:$P$5</c:f>
              <c:numCache>
                <c:formatCode>0.00_ </c:formatCode>
                <c:ptCount val="4"/>
                <c:pt idx="0">
                  <c:v>1</c:v>
                </c:pt>
                <c:pt idx="1">
                  <c:v>7.6405842137973892</c:v>
                </c:pt>
                <c:pt idx="2">
                  <c:v>15.070478558110628</c:v>
                </c:pt>
                <c:pt idx="3">
                  <c:v>29.267992541951525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189-4999-8382-B7DE50E9AFFE}"/>
            </c:ext>
          </c:extLst>
        </c:ser>
        <c:ser>
          <c:idx val="0"/>
          <c:order val="7"/>
          <c:tx>
            <c:v>Idel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189-4999-8382-B7DE50E9A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6854723646"/>
          <c:y val="0.88548797227448195"/>
          <c:w val="0.7390375243141285"/>
          <c:h val="9.6549467641108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ResNet50v1.5 AMP batch size=256 Throughput images/sec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'r50_amp_bz256'!$C$1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'r50_amp_bz256'!$C$2:$C$5</c:f>
              <c:numCache>
                <c:formatCode>General</c:formatCode>
                <c:ptCount val="4"/>
                <c:pt idx="0">
                  <c:v>1472.72</c:v>
                </c:pt>
                <c:pt idx="1">
                  <c:v>10629.32</c:v>
                </c:pt>
                <c:pt idx="2">
                  <c:v>17920.400000000001</c:v>
                </c:pt>
                <c:pt idx="3">
                  <c:v>33141.019999999997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B-4DD6-8FB9-F91CF8B04F02}"/>
            </c:ext>
          </c:extLst>
        </c:ser>
        <c:ser>
          <c:idx val="2"/>
          <c:order val="1"/>
          <c:tx>
            <c:strRef>
              <c:f>'r50_amp_bz256'!$D$1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'r50_amp_bz256'!$D$2:$D$5</c:f>
              <c:numCache>
                <c:formatCode>General</c:formatCode>
                <c:ptCount val="4"/>
                <c:pt idx="0">
                  <c:v>945.18</c:v>
                </c:pt>
                <c:pt idx="1">
                  <c:v>6903.42</c:v>
                </c:pt>
                <c:pt idx="2">
                  <c:v>12021.09</c:v>
                </c:pt>
                <c:pt idx="3">
                  <c:v>24734.22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B-4DD6-8FB9-F91CF8B04F02}"/>
            </c:ext>
          </c:extLst>
        </c:ser>
        <c:ser>
          <c:idx val="3"/>
          <c:order val="2"/>
          <c:tx>
            <c:strRef>
              <c:f>'r50_amp_bz256'!$E$1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'r50_amp_bz256'!$E$2:$E$5</c:f>
              <c:numCache>
                <c:formatCode>General</c:formatCode>
                <c:ptCount val="4"/>
                <c:pt idx="0">
                  <c:v>1198.55</c:v>
                </c:pt>
                <c:pt idx="1">
                  <c:v>8588.4500000000007</c:v>
                </c:pt>
                <c:pt idx="2">
                  <c:v>14931.03</c:v>
                </c:pt>
                <c:pt idx="3">
                  <c:v>29171.69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B-4DD6-8FB9-F91CF8B04F02}"/>
            </c:ext>
          </c:extLst>
        </c:ser>
        <c:ser>
          <c:idx val="1"/>
          <c:order val="3"/>
          <c:tx>
            <c:strRef>
              <c:f>'r50_amp_bz256'!$F$1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'r50_amp_bz256'!$F$2:$F$5</c:f>
              <c:numCache>
                <c:formatCode>General</c:formatCode>
                <c:ptCount val="4"/>
                <c:pt idx="0">
                  <c:v>802.9</c:v>
                </c:pt>
                <c:pt idx="1">
                  <c:v>6154.66</c:v>
                </c:pt>
                <c:pt idx="2">
                  <c:v>11991.94</c:v>
                </c:pt>
                <c:pt idx="3">
                  <c:v>22551.16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2B-4DD6-8FB9-F91CF8B04F02}"/>
            </c:ext>
          </c:extLst>
        </c:ser>
        <c:ser>
          <c:idx val="4"/>
          <c:order val="4"/>
          <c:tx>
            <c:strRef>
              <c:f>'r50_amp_bz256'!$G$1</c:f>
              <c:strCache>
                <c:ptCount val="1"/>
                <c:pt idx="0">
                  <c:v>NGC MXNet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6"/>
              </a:solidFill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5"/>
              </a:solidFill>
              <a:ln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D2B-4DD6-8FB9-F91CF8B04F02}"/>
              </c:ext>
            </c:extLst>
          </c:dPt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'r50_amp_bz256'!$G$2:$G$5</c:f>
              <c:numCache>
                <c:formatCode>General</c:formatCode>
                <c:ptCount val="4"/>
                <c:pt idx="0">
                  <c:v>1393.87</c:v>
                </c:pt>
                <c:pt idx="1">
                  <c:v>9621.31</c:v>
                </c:pt>
                <c:pt idx="2">
                  <c:v>16219.03</c:v>
                </c:pt>
                <c:pt idx="3">
                  <c:v>30713.68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2B-4DD6-8FB9-F91CF8B04F02}"/>
            </c:ext>
          </c:extLst>
        </c:ser>
        <c:ser>
          <c:idx val="6"/>
          <c:order val="5"/>
          <c:tx>
            <c:strRef>
              <c:f>'r50_amp_bz256'!$H$1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'r50_amp_bz256'!$H$2:$H$5</c:f>
              <c:numCache>
                <c:formatCode>General</c:formatCode>
                <c:ptCount val="4"/>
                <c:pt idx="0">
                  <c:v>1034.6400000000001</c:v>
                </c:pt>
                <c:pt idx="1">
                  <c:v>4380.66</c:v>
                </c:pt>
                <c:pt idx="2">
                  <c:v>6358.43</c:v>
                </c:pt>
                <c:pt idx="3">
                  <c:v>10633.22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2B-4DD6-8FB9-F91CF8B04F02}"/>
            </c:ext>
          </c:extLst>
        </c:ser>
        <c:ser>
          <c:idx val="7"/>
          <c:order val="6"/>
          <c:tx>
            <c:strRef>
              <c:f>'r50_amp_bz256'!$I$1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'r50_amp_bz256'!$I$2:$I$5</c:f>
              <c:numCache>
                <c:formatCode>General</c:formatCode>
                <c:ptCount val="4"/>
                <c:pt idx="0">
                  <c:v>1075.27</c:v>
                </c:pt>
                <c:pt idx="1">
                  <c:v>6898</c:v>
                </c:pt>
                <c:pt idx="2">
                  <c:v>9870.15</c:v>
                </c:pt>
                <c:pt idx="3">
                  <c:v>19314.310000000001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2B-4DD6-8FB9-F91CF8B04F02}"/>
            </c:ext>
          </c:extLst>
        </c:ser>
        <c:ser>
          <c:idx val="5"/>
          <c:order val="7"/>
          <c:tx>
            <c:strRef>
              <c:f>'r50_amp_bz256'!$J$1</c:f>
              <c:strCache>
                <c:ptCount val="1"/>
                <c:pt idx="0">
                  <c:v>PaddlePaddle w/DALI ref</c:v>
                </c:pt>
              </c:strCache>
            </c:strRef>
          </c:tx>
          <c:spPr>
            <a:solidFill>
              <a:srgbClr val="3366FF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'r50_amp_bz256'!$J$2:$J$5</c:f>
              <c:numCache>
                <c:formatCode>General</c:formatCode>
                <c:ptCount val="4"/>
                <c:pt idx="0">
                  <c:v>1035</c:v>
                </c:pt>
                <c:pt idx="1">
                  <c:v>7840</c:v>
                </c:pt>
                <c:pt idx="2">
                  <c:v>14277</c:v>
                </c:pt>
                <c:pt idx="3">
                  <c:v>28594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2B-4DD6-8FB9-F91CF8B04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ResNet50v1.5 AMP batch size=256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30222021709171154"/>
          <c:y val="1.7976014052430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'r50_amp_bz256'!$K$1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'r50_amp_bz256'!$K$2:$K$5</c:f>
              <c:numCache>
                <c:formatCode>0.00_ </c:formatCode>
                <c:ptCount val="4"/>
                <c:pt idx="0">
                  <c:v>1</c:v>
                </c:pt>
                <c:pt idx="1">
                  <c:v>7.2174751480254224</c:v>
                </c:pt>
                <c:pt idx="2">
                  <c:v>12.168232929545331</c:v>
                </c:pt>
                <c:pt idx="3">
                  <c:v>22.503272855668421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16-46C7-8789-26D824C2421C}"/>
            </c:ext>
          </c:extLst>
        </c:ser>
        <c:ser>
          <c:idx val="2"/>
          <c:order val="1"/>
          <c:tx>
            <c:strRef>
              <c:f>'r50_amp_bz256'!$L$1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CC66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CC66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'r50_amp_bz256'!$L$2:$L$5</c:f>
              <c:numCache>
                <c:formatCode>0.00_ </c:formatCode>
                <c:ptCount val="4"/>
                <c:pt idx="0">
                  <c:v>1</c:v>
                </c:pt>
                <c:pt idx="1">
                  <c:v>7.3038151463213357</c:v>
                </c:pt>
                <c:pt idx="2">
                  <c:v>12.718307623944646</c:v>
                </c:pt>
                <c:pt idx="3">
                  <c:v>26.168793245730974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16-46C7-8789-26D824C2421C}"/>
            </c:ext>
          </c:extLst>
        </c:ser>
        <c:ser>
          <c:idx val="3"/>
          <c:order val="2"/>
          <c:tx>
            <c:strRef>
              <c:f>'r50_amp_bz256'!$M$1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'r50_amp_bz256'!$M$2:$M$5</c:f>
              <c:numCache>
                <c:formatCode>0.00_ </c:formatCode>
                <c:ptCount val="4"/>
                <c:pt idx="0">
                  <c:v>1</c:v>
                </c:pt>
                <c:pt idx="1">
                  <c:v>7.1657002211004972</c:v>
                </c:pt>
                <c:pt idx="2">
                  <c:v>12.457577906637187</c:v>
                </c:pt>
                <c:pt idx="3">
                  <c:v>24.339151474698593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16-46C7-8789-26D824C2421C}"/>
            </c:ext>
          </c:extLst>
        </c:ser>
        <c:ser>
          <c:idx val="4"/>
          <c:order val="3"/>
          <c:tx>
            <c:strRef>
              <c:f>'r50_amp_bz256'!$N$1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'r50_amp_bz256'!$N$2:$N$5</c:f>
              <c:numCache>
                <c:formatCode>0.00_ </c:formatCode>
                <c:ptCount val="4"/>
                <c:pt idx="0">
                  <c:v>1</c:v>
                </c:pt>
                <c:pt idx="1">
                  <c:v>7.6655374268277496</c:v>
                </c:pt>
                <c:pt idx="2">
                  <c:v>14.935782787395691</c:v>
                </c:pt>
                <c:pt idx="3">
                  <c:v>28.087134138747043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16-46C7-8789-26D824C2421C}"/>
            </c:ext>
          </c:extLst>
        </c:ser>
        <c:ser>
          <c:idx val="5"/>
          <c:order val="4"/>
          <c:tx>
            <c:strRef>
              <c:f>'r50_amp_bz256'!$O$1</c:f>
              <c:strCache>
                <c:ptCount val="1"/>
                <c:pt idx="0">
                  <c:v>NGC 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'r50_amp_bz256'!$O$2:$O$5</c:f>
              <c:numCache>
                <c:formatCode>0.00_ </c:formatCode>
                <c:ptCount val="4"/>
                <c:pt idx="0">
                  <c:v>1</c:v>
                </c:pt>
                <c:pt idx="1">
                  <c:v>6.9025877592601894</c:v>
                </c:pt>
                <c:pt idx="2">
                  <c:v>11.635970355915546</c:v>
                </c:pt>
                <c:pt idx="3">
                  <c:v>22.034823907538009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16-46C7-8789-26D824C2421C}"/>
            </c:ext>
          </c:extLst>
        </c:ser>
        <c:ser>
          <c:idx val="6"/>
          <c:order val="5"/>
          <c:tx>
            <c:strRef>
              <c:f>'r50_amp_bz256'!$P$1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'r50_amp_bz256'!$P$2:$P$5</c:f>
              <c:numCache>
                <c:formatCode>0.00_ </c:formatCode>
                <c:ptCount val="4"/>
                <c:pt idx="0">
                  <c:v>1</c:v>
                </c:pt>
                <c:pt idx="1">
                  <c:v>4.2339944328462069</c:v>
                </c:pt>
                <c:pt idx="2">
                  <c:v>6.145548210005412</c:v>
                </c:pt>
                <c:pt idx="3">
                  <c:v>10.277217196319491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716-46C7-8789-26D824C2421C}"/>
            </c:ext>
          </c:extLst>
        </c:ser>
        <c:ser>
          <c:idx val="7"/>
          <c:order val="6"/>
          <c:tx>
            <c:strRef>
              <c:f>'r50_amp_bz256'!$Q$1</c:f>
              <c:strCache>
                <c:ptCount val="1"/>
                <c:pt idx="0">
                  <c:v>TensorFlow 2.x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'r50_amp_bz256'!$Q$2:$Q$5</c:f>
              <c:numCache>
                <c:formatCode>0.00_ </c:formatCode>
                <c:ptCount val="4"/>
                <c:pt idx="0">
                  <c:v>1</c:v>
                </c:pt>
                <c:pt idx="1">
                  <c:v>6.4151329433537621</c:v>
                </c:pt>
                <c:pt idx="2">
                  <c:v>9.1792294028476569</c:v>
                </c:pt>
                <c:pt idx="3">
                  <c:v>17.962288541482607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16-46C7-8789-26D824C2421C}"/>
            </c:ext>
          </c:extLst>
        </c:ser>
        <c:ser>
          <c:idx val="15"/>
          <c:order val="7"/>
          <c:tx>
            <c:strRef>
              <c:f>'r50_amp_bz256'!$R$1</c:f>
              <c:strCache>
                <c:ptCount val="1"/>
                <c:pt idx="0">
                  <c:v>PaddlePaddle w/DALI ref</c:v>
                </c:pt>
              </c:strCache>
            </c:strRef>
          </c:tx>
          <c:spPr>
            <a:ln>
              <a:solidFill>
                <a:srgbClr val="3366FF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3366FF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'r50_amp_bz256'!$R$2:$R$5</c:f>
              <c:numCache>
                <c:formatCode>0.00_ </c:formatCode>
                <c:ptCount val="4"/>
                <c:pt idx="0">
                  <c:v>1</c:v>
                </c:pt>
                <c:pt idx="1">
                  <c:v>7.57487922705314</c:v>
                </c:pt>
                <c:pt idx="2">
                  <c:v>13.794202898550724</c:v>
                </c:pt>
                <c:pt idx="3">
                  <c:v>27.627053140096617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16-46C7-8789-26D824C2421C}"/>
            </c:ext>
          </c:extLst>
        </c:ser>
        <c:ser>
          <c:idx val="0"/>
          <c:order val="8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1D-49A5-BABF-F1B7B956C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3991308827"/>
          <c:y val="0.86058401889818958"/>
          <c:w val="0.64250947630951682"/>
          <c:h val="0.114512099625984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FP32 batch size=32 Throughput sentences/sec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bert_fp32_bz32!$C$1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bert_fp32_bz32!$C$2:$C$5</c:f>
              <c:numCache>
                <c:formatCode>General</c:formatCode>
                <c:ptCount val="4"/>
                <c:pt idx="0">
                  <c:v>152.88999999999999</c:v>
                </c:pt>
                <c:pt idx="1">
                  <c:v>1105.55</c:v>
                </c:pt>
                <c:pt idx="2">
                  <c:v>2015.78</c:v>
                </c:pt>
                <c:pt idx="3">
                  <c:v>3689.8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46-4547-90E1-90C87FE36709}"/>
            </c:ext>
          </c:extLst>
        </c:ser>
        <c:ser>
          <c:idx val="2"/>
          <c:order val="1"/>
          <c:tx>
            <c:strRef>
              <c:f>bert_fp32_bz32!$D$1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9900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bert_fp32_bz32!$D$2:$D$5</c:f>
              <c:numCache>
                <c:formatCode>General</c:formatCode>
                <c:ptCount val="4"/>
                <c:pt idx="0">
                  <c:v>112.76</c:v>
                </c:pt>
                <c:pt idx="1">
                  <c:v>855.45</c:v>
                </c:pt>
                <c:pt idx="2">
                  <c:v>1576.88</c:v>
                </c:pt>
                <c:pt idx="3">
                  <c:v>2727.9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46-4547-90E1-90C87FE36709}"/>
            </c:ext>
          </c:extLst>
        </c:ser>
        <c:ser>
          <c:idx val="1"/>
          <c:order val="2"/>
          <c:tx>
            <c:strRef>
              <c:f>bert_fp32_bz32!$F$1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bert_fp32_bz32!$F$2:$F$5</c:f>
              <c:numCache>
                <c:formatCode>General</c:formatCode>
                <c:ptCount val="4"/>
                <c:pt idx="0">
                  <c:v>119.6</c:v>
                </c:pt>
                <c:pt idx="1">
                  <c:v>921.32</c:v>
                </c:pt>
                <c:pt idx="2">
                  <c:v>1499.4</c:v>
                </c:pt>
                <c:pt idx="3">
                  <c:v>2885.81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46-4547-90E1-90C87FE36709}"/>
            </c:ext>
          </c:extLst>
        </c:ser>
        <c:ser>
          <c:idx val="6"/>
          <c:order val="3"/>
          <c:tx>
            <c:strRef>
              <c:f>bert_fp32_bz32!$H$1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bert_fp32_bz32!$H$2:$H$5</c:f>
              <c:numCache>
                <c:formatCode>General</c:formatCode>
                <c:ptCount val="4"/>
                <c:pt idx="0">
                  <c:v>132.63999999999999</c:v>
                </c:pt>
                <c:pt idx="1">
                  <c:v>615.12</c:v>
                </c:pt>
                <c:pt idx="2">
                  <c:v>1116.02</c:v>
                </c:pt>
                <c:pt idx="3">
                  <c:v>2073.6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46-4547-90E1-90C87FE36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FP32 batch size=32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7438722223053014"/>
          <c:y val="1.79697309473829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bert_fp32_bz32!$K$1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bert_fp32_bz32!$K$2:$K$5</c:f>
              <c:numCache>
                <c:formatCode>0.00_ </c:formatCode>
                <c:ptCount val="4"/>
                <c:pt idx="0">
                  <c:v>1</c:v>
                </c:pt>
                <c:pt idx="1">
                  <c:v>7.2310157629668392</c:v>
                </c:pt>
                <c:pt idx="2">
                  <c:v>13.184511740467004</c:v>
                </c:pt>
                <c:pt idx="3">
                  <c:v>24.133690888874359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64-494B-BFEB-E137FEA50E84}"/>
            </c:ext>
          </c:extLst>
        </c:ser>
        <c:ser>
          <c:idx val="8"/>
          <c:order val="1"/>
          <c:tx>
            <c:strRef>
              <c:f>bert_fp32_bz32!$L$1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bert_fp32_bz32!$L$2:$L$5</c:f>
              <c:numCache>
                <c:formatCode>0.00_ </c:formatCode>
                <c:ptCount val="4"/>
                <c:pt idx="0">
                  <c:v>1</c:v>
                </c:pt>
                <c:pt idx="1">
                  <c:v>7.5864668322100037</c:v>
                </c:pt>
                <c:pt idx="2">
                  <c:v>13.984391628236963</c:v>
                </c:pt>
                <c:pt idx="3">
                  <c:v>24.192089393401915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564-494B-BFEB-E137FEA50E84}"/>
            </c:ext>
          </c:extLst>
        </c:ser>
        <c:ser>
          <c:idx val="10"/>
          <c:order val="2"/>
          <c:tx>
            <c:strRef>
              <c:f>bert_fp32_bz32!$N$1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bert_fp32_bz32!$N$2:$N$5</c:f>
              <c:numCache>
                <c:formatCode>0.00_ </c:formatCode>
                <c:ptCount val="4"/>
                <c:pt idx="0">
                  <c:v>1</c:v>
                </c:pt>
                <c:pt idx="1">
                  <c:v>7.7033444816053516</c:v>
                </c:pt>
                <c:pt idx="2">
                  <c:v>12.536789297658864</c:v>
                </c:pt>
                <c:pt idx="3">
                  <c:v>24.128846153846155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564-494B-BFEB-E137FEA50E84}"/>
            </c:ext>
          </c:extLst>
        </c:ser>
        <c:ser>
          <c:idx val="12"/>
          <c:order val="3"/>
          <c:tx>
            <c:strRef>
              <c:f>bert_fp32_bz32!$P$1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bert_fp32_bz32!$P$2:$P$5</c:f>
              <c:numCache>
                <c:formatCode>0.00_ </c:formatCode>
                <c:ptCount val="4"/>
                <c:pt idx="0">
                  <c:v>1</c:v>
                </c:pt>
                <c:pt idx="1">
                  <c:v>4.6375150784077208</c:v>
                </c:pt>
                <c:pt idx="2">
                  <c:v>8.4139022919179745</c:v>
                </c:pt>
                <c:pt idx="3">
                  <c:v>15.63329312424608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64-494B-BFEB-E137FEA50E84}"/>
            </c:ext>
          </c:extLst>
        </c:ser>
        <c:ser>
          <c:idx val="1"/>
          <c:order val="4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64-494B-BFEB-E137FEA50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3991308827"/>
          <c:y val="0.88548790037401592"/>
          <c:w val="0.64161590066392482"/>
          <c:h val="0.11451220881703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FP32 batch size=max Throughput sentences/sec</a:t>
            </a:r>
            <a:endParaRPr lang="zh-CN" altLang="en-US" sz="1600"/>
          </a:p>
        </c:rich>
      </c:tx>
      <c:layout>
        <c:manualLayout>
          <c:xMode val="edge"/>
          <c:yMode val="edge"/>
          <c:x val="0.19261519189857587"/>
          <c:y val="1.818552384570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bert_fp32_bz_max!$C$1</c:f>
              <c:strCache>
                <c:ptCount val="1"/>
                <c:pt idx="0">
                  <c:v>OneFlow 
bsz=96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bert_fp32_bz_max!$C$2:$C$5</c:f>
              <c:numCache>
                <c:formatCode>General</c:formatCode>
                <c:ptCount val="4"/>
                <c:pt idx="0">
                  <c:v>156.02000000000001</c:v>
                </c:pt>
                <c:pt idx="1">
                  <c:v>1201.7</c:v>
                </c:pt>
                <c:pt idx="2">
                  <c:v>2352.92</c:v>
                </c:pt>
                <c:pt idx="3">
                  <c:v>4664.1000000000004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9-45A5-9EAB-8C23647C7D29}"/>
            </c:ext>
          </c:extLst>
        </c:ser>
        <c:ser>
          <c:idx val="2"/>
          <c:order val="1"/>
          <c:tx>
            <c:strRef>
              <c:f>bert_fp32_bz_max!$D$1</c:f>
              <c:strCache>
                <c:ptCount val="1"/>
                <c:pt idx="0">
                  <c:v>NGC TensorFlow 1.x
bsz=48</c:v>
                </c:pt>
              </c:strCache>
            </c:strRef>
          </c:tx>
          <c:spPr>
            <a:solidFill>
              <a:srgbClr val="FF9900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bert_fp32_bz_max!$D$2:$D$5</c:f>
              <c:numCache>
                <c:formatCode>General</c:formatCode>
                <c:ptCount val="4"/>
                <c:pt idx="0">
                  <c:v>107.33</c:v>
                </c:pt>
                <c:pt idx="1">
                  <c:v>790.03</c:v>
                </c:pt>
                <c:pt idx="2">
                  <c:v>1404.04</c:v>
                </c:pt>
                <c:pt idx="3">
                  <c:v>3089.74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69-45A5-9EAB-8C23647C7D29}"/>
            </c:ext>
          </c:extLst>
        </c:ser>
        <c:ser>
          <c:idx val="1"/>
          <c:order val="2"/>
          <c:tx>
            <c:strRef>
              <c:f>bert_fp32_bz_max!$F$1</c:f>
              <c:strCache>
                <c:ptCount val="1"/>
                <c:pt idx="0">
                  <c:v>NGC PyTorch
bsz=48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bert_fp32_bz_max!$F$2:$F$5</c:f>
              <c:numCache>
                <c:formatCode>General</c:formatCode>
                <c:ptCount val="4"/>
                <c:pt idx="0">
                  <c:v>121.94</c:v>
                </c:pt>
                <c:pt idx="1">
                  <c:v>928.01</c:v>
                </c:pt>
                <c:pt idx="2">
                  <c:v>1584.32</c:v>
                </c:pt>
                <c:pt idx="3">
                  <c:v>3039.3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69-45A5-9EAB-8C23647C7D29}"/>
            </c:ext>
          </c:extLst>
        </c:ser>
        <c:ser>
          <c:idx val="6"/>
          <c:order val="3"/>
          <c:tx>
            <c:strRef>
              <c:f>bert_fp32_bz_max!$H$1</c:f>
              <c:strCache>
                <c:ptCount val="1"/>
                <c:pt idx="0">
                  <c:v>PaddlePaddle
bsz=96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bert_fp32_bz_max!$H$2:$H$5</c:f>
              <c:numCache>
                <c:formatCode>General</c:formatCode>
                <c:ptCount val="4"/>
                <c:pt idx="0">
                  <c:v>136.97</c:v>
                </c:pt>
                <c:pt idx="1">
                  <c:v>868.6</c:v>
                </c:pt>
                <c:pt idx="2">
                  <c:v>1631.36</c:v>
                </c:pt>
                <c:pt idx="3">
                  <c:v>3167.68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69-45A5-9EAB-8C23647C7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FP32 batch size=max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5637761745175819"/>
          <c:y val="2.07668333255146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bert_fp32_bz_max!$K$1</c:f>
              <c:strCache>
                <c:ptCount val="1"/>
                <c:pt idx="0">
                  <c:v>OneFlow 
bsz=96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bert_fp32_bz_max!$K$2:$K$5</c:f>
              <c:numCache>
                <c:formatCode>0.00_ </c:formatCode>
                <c:ptCount val="4"/>
                <c:pt idx="0">
                  <c:v>1</c:v>
                </c:pt>
                <c:pt idx="1">
                  <c:v>7.7022176644019993</c:v>
                </c:pt>
                <c:pt idx="2">
                  <c:v>15.0808870657608</c:v>
                </c:pt>
                <c:pt idx="3">
                  <c:v>29.894244327650302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5-44AC-BE5F-1886806DB7EB}"/>
            </c:ext>
          </c:extLst>
        </c:ser>
        <c:ser>
          <c:idx val="8"/>
          <c:order val="1"/>
          <c:tx>
            <c:strRef>
              <c:f>bert_fp32_bz_max!$L$1</c:f>
              <c:strCache>
                <c:ptCount val="1"/>
                <c:pt idx="0">
                  <c:v>NGC TensorFlow 1.x
bsz=48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bert_fp32_bz_max!$L$2:$L$5</c:f>
              <c:numCache>
                <c:formatCode>0.00_ </c:formatCode>
                <c:ptCount val="4"/>
                <c:pt idx="0">
                  <c:v>1</c:v>
                </c:pt>
                <c:pt idx="1">
                  <c:v>7.3607565452343238</c:v>
                </c:pt>
                <c:pt idx="2">
                  <c:v>13.081524270940092</c:v>
                </c:pt>
                <c:pt idx="3">
                  <c:v>28.787291530792881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5-44AC-BE5F-1886806DB7EB}"/>
            </c:ext>
          </c:extLst>
        </c:ser>
        <c:ser>
          <c:idx val="10"/>
          <c:order val="2"/>
          <c:tx>
            <c:strRef>
              <c:f>bert_fp32_bz_max!$N$1</c:f>
              <c:strCache>
                <c:ptCount val="1"/>
                <c:pt idx="0">
                  <c:v>NGC PyTorch
bsz=48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bert_fp32_bz_max!$N$2:$N$5</c:f>
              <c:numCache>
                <c:formatCode>0.00_ </c:formatCode>
                <c:ptCount val="4"/>
                <c:pt idx="0">
                  <c:v>1</c:v>
                </c:pt>
                <c:pt idx="1">
                  <c:v>7.6103821551582742</c:v>
                </c:pt>
                <c:pt idx="2">
                  <c:v>12.99261932097753</c:v>
                </c:pt>
                <c:pt idx="3">
                  <c:v>24.924553058881418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5-44AC-BE5F-1886806DB7EB}"/>
            </c:ext>
          </c:extLst>
        </c:ser>
        <c:ser>
          <c:idx val="12"/>
          <c:order val="3"/>
          <c:tx>
            <c:strRef>
              <c:f>bert_fp32_bz_max!$P$1</c:f>
              <c:strCache>
                <c:ptCount val="1"/>
                <c:pt idx="0">
                  <c:v>PaddlePaddle
bsz=96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bert_fp32_bz_max!$P$2:$P$5</c:f>
              <c:numCache>
                <c:formatCode>0.00_ </c:formatCode>
                <c:ptCount val="4"/>
                <c:pt idx="0">
                  <c:v>1</c:v>
                </c:pt>
                <c:pt idx="1">
                  <c:v>6.3415346426224719</c:v>
                </c:pt>
                <c:pt idx="2">
                  <c:v>11.910345331094399</c:v>
                </c:pt>
                <c:pt idx="3">
                  <c:v>23.12681609111484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5-44AC-BE5F-1886806DB7EB}"/>
            </c:ext>
          </c:extLst>
        </c:ser>
        <c:ser>
          <c:idx val="1"/>
          <c:order val="4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D5-44AC-BE5F-1886806DB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3991308827"/>
          <c:y val="0.88548790037401592"/>
          <c:w val="0.64161590066392482"/>
          <c:h val="0.11451220881703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AMP batch size=64 Throughput sentences/sec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bert_amp_bz64!$C$1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bert_amp_bz64!$C$2:$C$5</c:f>
              <c:numCache>
                <c:formatCode>General</c:formatCode>
                <c:ptCount val="4"/>
                <c:pt idx="0">
                  <c:v>534.72</c:v>
                </c:pt>
                <c:pt idx="1">
                  <c:v>3399.43</c:v>
                </c:pt>
                <c:pt idx="2">
                  <c:v>5745.56</c:v>
                </c:pt>
                <c:pt idx="3">
                  <c:v>9911.7800000000007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E28-B969-91EB42B9F256}"/>
            </c:ext>
          </c:extLst>
        </c:ser>
        <c:ser>
          <c:idx val="2"/>
          <c:order val="1"/>
          <c:tx>
            <c:strRef>
              <c:f>bert_amp_bz64!$D$1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bert_amp_bz64!$D$2:$D$5</c:f>
              <c:numCache>
                <c:formatCode>General</c:formatCode>
                <c:ptCount val="4"/>
                <c:pt idx="0">
                  <c:v>183.25</c:v>
                </c:pt>
                <c:pt idx="1">
                  <c:v>1452.59</c:v>
                </c:pt>
                <c:pt idx="2">
                  <c:v>2653.74</c:v>
                </c:pt>
                <c:pt idx="3">
                  <c:v>5189.07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1-4E28-B969-91EB42B9F256}"/>
            </c:ext>
          </c:extLst>
        </c:ser>
        <c:ser>
          <c:idx val="3"/>
          <c:order val="2"/>
          <c:tx>
            <c:strRef>
              <c:f>bert_amp_bz64!$E$1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bert_amp_bz64!$E$2:$E$5</c:f>
              <c:numCache>
                <c:formatCode>General</c:formatCode>
                <c:ptCount val="4"/>
                <c:pt idx="0">
                  <c:v>422.53</c:v>
                </c:pt>
                <c:pt idx="1">
                  <c:v>3112.73</c:v>
                </c:pt>
                <c:pt idx="2">
                  <c:v>5050.8599999999997</c:v>
                </c:pt>
                <c:pt idx="3">
                  <c:v>9409.2000000000007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B1-4E28-B969-91EB42B9F256}"/>
            </c:ext>
          </c:extLst>
        </c:ser>
        <c:ser>
          <c:idx val="1"/>
          <c:order val="3"/>
          <c:tx>
            <c:strRef>
              <c:f>bert_amp_bz64!$F$1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bert_amp_bz64!$F$2:$F$5</c:f>
              <c:numCache>
                <c:formatCode>General</c:formatCode>
                <c:ptCount val="4"/>
                <c:pt idx="0">
                  <c:v>444.51</c:v>
                </c:pt>
                <c:pt idx="1">
                  <c:v>3251.7</c:v>
                </c:pt>
                <c:pt idx="2">
                  <c:v>4936.92</c:v>
                </c:pt>
                <c:pt idx="3">
                  <c:v>9331.7199999999993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E28-B969-91EB42B9F256}"/>
            </c:ext>
          </c:extLst>
        </c:ser>
        <c:ser>
          <c:idx val="6"/>
          <c:order val="4"/>
          <c:tx>
            <c:strRef>
              <c:f>bert_amp_bz64!$H$1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solidFill>
                <a:srgbClr val="0000FF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bert_amp_bz64!$H$2:$H$5</c:f>
              <c:numCache>
                <c:formatCode>General</c:formatCode>
                <c:ptCount val="4"/>
                <c:pt idx="0">
                  <c:v>289.23</c:v>
                </c:pt>
                <c:pt idx="1">
                  <c:v>1298.96</c:v>
                </c:pt>
                <c:pt idx="2">
                  <c:v>1999.38</c:v>
                </c:pt>
                <c:pt idx="3">
                  <c:v>3406.36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B1-4E28-B969-91EB42B9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AMP batch size=64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7438722223053014"/>
          <c:y val="1.79697309473829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bert_amp_bz64!$K$1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bert_amp_bz64!$K$2:$K$5</c:f>
              <c:numCache>
                <c:formatCode>0.00_ </c:formatCode>
                <c:ptCount val="4"/>
                <c:pt idx="0">
                  <c:v>1</c:v>
                </c:pt>
                <c:pt idx="1">
                  <c:v>6.3574020047875521</c:v>
                </c:pt>
                <c:pt idx="2">
                  <c:v>10.744988031119091</c:v>
                </c:pt>
                <c:pt idx="3">
                  <c:v>18.536392878515858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F-4849-90F8-56E836E1A8EA}"/>
            </c:ext>
          </c:extLst>
        </c:ser>
        <c:ser>
          <c:idx val="8"/>
          <c:order val="1"/>
          <c:tx>
            <c:strRef>
              <c:f>bert_amp_bz64!$L$1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CC66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CC66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bert_amp_bz64!$L$2:$L$5</c:f>
              <c:numCache>
                <c:formatCode>0.00_ </c:formatCode>
                <c:ptCount val="4"/>
                <c:pt idx="0">
                  <c:v>1</c:v>
                </c:pt>
                <c:pt idx="1">
                  <c:v>7.9268212824010913</c:v>
                </c:pt>
                <c:pt idx="2">
                  <c:v>14.481527967257843</c:v>
                </c:pt>
                <c:pt idx="3">
                  <c:v>28.316889495225102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FF-4849-90F8-56E836E1A8EA}"/>
            </c:ext>
          </c:extLst>
        </c:ser>
        <c:ser>
          <c:idx val="2"/>
          <c:order val="2"/>
          <c:tx>
            <c:strRef>
              <c:f>bert_amp_bz64!$M$1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bert_amp_bz64!$M$2:$M$5</c:f>
              <c:numCache>
                <c:formatCode>0.00_ </c:formatCode>
                <c:ptCount val="4"/>
                <c:pt idx="0">
                  <c:v>1</c:v>
                </c:pt>
                <c:pt idx="1">
                  <c:v>7.3668851915840303</c:v>
                </c:pt>
                <c:pt idx="2">
                  <c:v>11.953849430809647</c:v>
                </c:pt>
                <c:pt idx="3">
                  <c:v>22.268714647480657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FF-4849-90F8-56E836E1A8EA}"/>
            </c:ext>
          </c:extLst>
        </c:ser>
        <c:ser>
          <c:idx val="10"/>
          <c:order val="3"/>
          <c:tx>
            <c:strRef>
              <c:f>bert_amp_bz64!$N$1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bert_amp_bz64!$N$2:$N$5</c:f>
              <c:numCache>
                <c:formatCode>0.00_ </c:formatCode>
                <c:ptCount val="4"/>
                <c:pt idx="0">
                  <c:v>1</c:v>
                </c:pt>
                <c:pt idx="1">
                  <c:v>7.3152460012148204</c:v>
                </c:pt>
                <c:pt idx="2">
                  <c:v>11.106431801309308</c:v>
                </c:pt>
                <c:pt idx="3">
                  <c:v>20.993273492159904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FF-4849-90F8-56E836E1A8EA}"/>
            </c:ext>
          </c:extLst>
        </c:ser>
        <c:ser>
          <c:idx val="12"/>
          <c:order val="4"/>
          <c:tx>
            <c:strRef>
              <c:f>bert_amp_bz64!$P$1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bert_amp_bz64!$P$2:$P$5</c:f>
              <c:numCache>
                <c:formatCode>0.00_ </c:formatCode>
                <c:ptCount val="4"/>
                <c:pt idx="0">
                  <c:v>1</c:v>
                </c:pt>
                <c:pt idx="1">
                  <c:v>4.491097050790029</c:v>
                </c:pt>
                <c:pt idx="2">
                  <c:v>6.912768385022301</c:v>
                </c:pt>
                <c:pt idx="3">
                  <c:v>11.77733983335062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FF-4849-90F8-56E836E1A8EA}"/>
            </c:ext>
          </c:extLst>
        </c:ser>
        <c:ser>
          <c:idx val="1"/>
          <c:order val="5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FF-4849-90F8-56E836E1A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6.8266199749077341E-2"/>
          <c:y val="0.93581793575122507"/>
          <c:w val="0.89999989686697335"/>
          <c:h val="4.7184930166241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AMP batch size=max Throughput sentences/sec</a:t>
            </a:r>
            <a:endParaRPr lang="zh-CN" altLang="en-US" sz="1600"/>
          </a:p>
        </c:rich>
      </c:tx>
      <c:layout>
        <c:manualLayout>
          <c:xMode val="edge"/>
          <c:yMode val="edge"/>
          <c:x val="0.19261519189857587"/>
          <c:y val="1.818552384570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bert_amp_bz_max!$C$1</c:f>
              <c:strCache>
                <c:ptCount val="1"/>
                <c:pt idx="0">
                  <c:v>OneFlow 
bsz=160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bert_amp_bz_max!$C$2:$C$5</c:f>
              <c:numCache>
                <c:formatCode>General</c:formatCode>
                <c:ptCount val="4"/>
                <c:pt idx="0">
                  <c:v>605.11</c:v>
                </c:pt>
                <c:pt idx="1">
                  <c:v>4381.66</c:v>
                </c:pt>
                <c:pt idx="2">
                  <c:v>8075.16</c:v>
                </c:pt>
                <c:pt idx="3">
                  <c:v>15724.7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E-488A-896A-5F7BF0D1AC4F}"/>
            </c:ext>
          </c:extLst>
        </c:ser>
        <c:ser>
          <c:idx val="2"/>
          <c:order val="1"/>
          <c:tx>
            <c:strRef>
              <c:f>bert_amp_bz_max!$D$1</c:f>
              <c:strCache>
                <c:ptCount val="1"/>
                <c:pt idx="0">
                  <c:v>NGC TensorFlow 1.x
bsz=64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bert_amp_bz_max!$D$2:$D$5</c:f>
              <c:numCache>
                <c:formatCode>General</c:formatCode>
                <c:ptCount val="4"/>
                <c:pt idx="0">
                  <c:v>183.25</c:v>
                </c:pt>
                <c:pt idx="1">
                  <c:v>1452.59</c:v>
                </c:pt>
                <c:pt idx="2">
                  <c:v>2653.74</c:v>
                </c:pt>
                <c:pt idx="3">
                  <c:v>5189.07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9E-488A-896A-5F7BF0D1AC4F}"/>
            </c:ext>
          </c:extLst>
        </c:ser>
        <c:ser>
          <c:idx val="3"/>
          <c:order val="2"/>
          <c:tx>
            <c:strRef>
              <c:f>bert_amp_bz_max!$E$1</c:f>
              <c:strCache>
                <c:ptCount val="1"/>
                <c:pt idx="0">
                  <c:v>NGC TensorFlow 1.x w/XLA 
bsz=96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val>
            <c:numRef>
              <c:f>bert_amp_bz_max!$E$2:$E$5</c:f>
              <c:numCache>
                <c:formatCode>General</c:formatCode>
                <c:ptCount val="4"/>
                <c:pt idx="0">
                  <c:v>468.1</c:v>
                </c:pt>
                <c:pt idx="1">
                  <c:v>3559.8</c:v>
                </c:pt>
                <c:pt idx="2">
                  <c:v>5960.14</c:v>
                </c:pt>
                <c:pt idx="3">
                  <c:v>11650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9E-488A-896A-5F7BF0D1AC4F}"/>
            </c:ext>
          </c:extLst>
        </c:ser>
        <c:ser>
          <c:idx val="1"/>
          <c:order val="3"/>
          <c:tx>
            <c:strRef>
              <c:f>bert_amp_bz_max!$F$1</c:f>
              <c:strCache>
                <c:ptCount val="1"/>
                <c:pt idx="0">
                  <c:v>NGC PyTorch
bsz=96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bert_amp_bz_max!$F$2:$F$5</c:f>
              <c:numCache>
                <c:formatCode>General</c:formatCode>
                <c:ptCount val="4"/>
                <c:pt idx="0">
                  <c:v>462.35</c:v>
                </c:pt>
                <c:pt idx="1">
                  <c:v>3287.12</c:v>
                </c:pt>
                <c:pt idx="2">
                  <c:v>5426.07</c:v>
                </c:pt>
                <c:pt idx="3">
                  <c:v>10349.120000000001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9E-488A-896A-5F7BF0D1AC4F}"/>
            </c:ext>
          </c:extLst>
        </c:ser>
        <c:ser>
          <c:idx val="6"/>
          <c:order val="4"/>
          <c:tx>
            <c:strRef>
              <c:f>bert_amp_bz_max!$H$1</c:f>
              <c:strCache>
                <c:ptCount val="1"/>
                <c:pt idx="0">
                  <c:v>PaddlePaddle
bsz=160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bert_amp_bz_max!$H$2:$H$5</c:f>
              <c:numCache>
                <c:formatCode>General</c:formatCode>
                <c:ptCount val="4"/>
                <c:pt idx="0">
                  <c:v>309.68</c:v>
                </c:pt>
                <c:pt idx="1">
                  <c:v>1666.54</c:v>
                </c:pt>
                <c:pt idx="2">
                  <c:v>2969.85</c:v>
                </c:pt>
                <c:pt idx="3">
                  <c:v>5452.35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9E-488A-896A-5F7BF0D1A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AMP batch size=max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5637761745175819"/>
          <c:y val="2.07668333255146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bert_amp_bz_max!$K$1</c:f>
              <c:strCache>
                <c:ptCount val="1"/>
                <c:pt idx="0">
                  <c:v>OneFlow 
bsz=160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bert_amp_bz_max!$K$2:$K$5</c:f>
              <c:numCache>
                <c:formatCode>0.00_ </c:formatCode>
                <c:ptCount val="4"/>
                <c:pt idx="0">
                  <c:v>1</c:v>
                </c:pt>
                <c:pt idx="1">
                  <c:v>7.241096660111384</c:v>
                </c:pt>
                <c:pt idx="2">
                  <c:v>13.34494554709061</c:v>
                </c:pt>
                <c:pt idx="3">
                  <c:v>25.986514848539937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96-4B2C-8527-57067C31ED88}"/>
            </c:ext>
          </c:extLst>
        </c:ser>
        <c:ser>
          <c:idx val="8"/>
          <c:order val="1"/>
          <c:tx>
            <c:strRef>
              <c:f>bert_amp_bz_max!$L$1</c:f>
              <c:strCache>
                <c:ptCount val="1"/>
                <c:pt idx="0">
                  <c:v>NGC TensorFlow 1.x
bsz=64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CC6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bert_amp_bz_max!$L$2:$L$5</c:f>
              <c:numCache>
                <c:formatCode>0.00_ </c:formatCode>
                <c:ptCount val="4"/>
                <c:pt idx="0">
                  <c:v>1</c:v>
                </c:pt>
                <c:pt idx="1">
                  <c:v>7.9268212824010913</c:v>
                </c:pt>
                <c:pt idx="2">
                  <c:v>14.481527967257843</c:v>
                </c:pt>
                <c:pt idx="3">
                  <c:v>28.316889495225102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6-4B2C-8527-57067C31ED88}"/>
            </c:ext>
          </c:extLst>
        </c:ser>
        <c:ser>
          <c:idx val="2"/>
          <c:order val="2"/>
          <c:tx>
            <c:strRef>
              <c:f>bert_amp_bz_max!$M$1</c:f>
              <c:strCache>
                <c:ptCount val="1"/>
                <c:pt idx="0">
                  <c:v>NGC TensorFlow 1.x w/XLA
bsz=96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bert_amp_bz_max!$M$2:$M$5</c:f>
              <c:numCache>
                <c:formatCode>0.00_ </c:formatCode>
                <c:ptCount val="4"/>
                <c:pt idx="0">
                  <c:v>1</c:v>
                </c:pt>
                <c:pt idx="1">
                  <c:v>7.604785302285836</c:v>
                </c:pt>
                <c:pt idx="2">
                  <c:v>12.732621234778893</c:v>
                </c:pt>
                <c:pt idx="3">
                  <c:v>24.88784447767571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96-4B2C-8527-57067C31ED88}"/>
            </c:ext>
          </c:extLst>
        </c:ser>
        <c:ser>
          <c:idx val="10"/>
          <c:order val="3"/>
          <c:tx>
            <c:strRef>
              <c:f>bert_amp_bz_max!$N$1</c:f>
              <c:strCache>
                <c:ptCount val="1"/>
                <c:pt idx="0">
                  <c:v>NGC PyTorch
bsz=96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bert_amp_bz_max!$N$2:$N$5</c:f>
              <c:numCache>
                <c:formatCode>0.00_ </c:formatCode>
                <c:ptCount val="4"/>
                <c:pt idx="0">
                  <c:v>1</c:v>
                </c:pt>
                <c:pt idx="1">
                  <c:v>7.1095923002054713</c:v>
                </c:pt>
                <c:pt idx="2">
                  <c:v>11.735849464691251</c:v>
                </c:pt>
                <c:pt idx="3">
                  <c:v>22.383735265491513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6-4B2C-8527-57067C31ED88}"/>
            </c:ext>
          </c:extLst>
        </c:ser>
        <c:ser>
          <c:idx val="12"/>
          <c:order val="4"/>
          <c:tx>
            <c:strRef>
              <c:f>bert_amp_bz_max!$P$1</c:f>
              <c:strCache>
                <c:ptCount val="1"/>
                <c:pt idx="0">
                  <c:v>PaddlePaddle
bsz=160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bert_amp_bz_max!$P$2:$P$5</c:f>
              <c:numCache>
                <c:formatCode>0.00_ </c:formatCode>
                <c:ptCount val="4"/>
                <c:pt idx="0">
                  <c:v>1</c:v>
                </c:pt>
                <c:pt idx="1">
                  <c:v>5.3814905709119092</c:v>
                </c:pt>
                <c:pt idx="2">
                  <c:v>9.5900607078274351</c:v>
                </c:pt>
                <c:pt idx="3">
                  <c:v>17.60640015499871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6-4B2C-8527-57067C31ED88}"/>
            </c:ext>
          </c:extLst>
        </c:ser>
        <c:ser>
          <c:idx val="1"/>
          <c:order val="5"/>
          <c:tx>
            <c:v>Idel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96-4B2C-8527-57067C31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5.6805542162586105E-2"/>
          <c:y val="0.89108215486124276"/>
          <c:w val="0.89999989686697335"/>
          <c:h val="7.7620251725999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size=32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old_bert_base_bz_32!$C$1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old_bert_base_bz_32!$C$2:$C$5</c:f>
              <c:numCache>
                <c:formatCode>General</c:formatCode>
                <c:ptCount val="4"/>
                <c:pt idx="0">
                  <c:v>145.21</c:v>
                </c:pt>
                <c:pt idx="1">
                  <c:v>1042.98</c:v>
                </c:pt>
                <c:pt idx="2">
                  <c:v>1890.26</c:v>
                </c:pt>
                <c:pt idx="3">
                  <c:v>3715.08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1-4F64-8D2A-FA376085BA3F}"/>
            </c:ext>
          </c:extLst>
        </c:ser>
        <c:ser>
          <c:idx val="2"/>
          <c:order val="1"/>
          <c:tx>
            <c:strRef>
              <c:f>old_bert_base_bz_32!$D$1</c:f>
              <c:strCache>
                <c:ptCount val="1"/>
                <c:pt idx="0">
                  <c:v>TensorFlow 1.x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old_bert_base_bz_32!$D$2:$D$5</c:f>
              <c:numCache>
                <c:formatCode>General</c:formatCode>
                <c:ptCount val="4"/>
                <c:pt idx="0">
                  <c:v>106.8</c:v>
                </c:pt>
                <c:pt idx="1">
                  <c:v>806.56</c:v>
                </c:pt>
                <c:pt idx="2">
                  <c:v>1090.2</c:v>
                </c:pt>
                <c:pt idx="3">
                  <c:v>1923.68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1-4F64-8D2A-FA376085BA3F}"/>
            </c:ext>
          </c:extLst>
        </c:ser>
        <c:ser>
          <c:idx val="3"/>
          <c:order val="2"/>
          <c:tx>
            <c:strRef>
              <c:f>old_bert_base_bz_32!$E$1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old_bert_base_bz_32!$E$2:$E$5</c:f>
              <c:numCache>
                <c:formatCode>General</c:formatCode>
                <c:ptCount val="4"/>
                <c:pt idx="0">
                  <c:v>150.11000000000001</c:v>
                </c:pt>
                <c:pt idx="1">
                  <c:v>1058.5999999999999</c:v>
                </c:pt>
                <c:pt idx="2">
                  <c:v>1845.65</c:v>
                </c:pt>
                <c:pt idx="3">
                  <c:v>3671.45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21-4F64-8D2A-FA376085BA3F}"/>
            </c:ext>
          </c:extLst>
        </c:ser>
        <c:ser>
          <c:idx val="1"/>
          <c:order val="3"/>
          <c:tx>
            <c:strRef>
              <c:f>old_bert_base_bz_32!$F$1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old_bert_base_bz_32!$F$2:$F$5</c:f>
              <c:numCache>
                <c:formatCode>General</c:formatCode>
                <c:ptCount val="4"/>
                <c:pt idx="0">
                  <c:v>119.61</c:v>
                </c:pt>
                <c:pt idx="1">
                  <c:v>908.85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21-4F64-8D2A-FA376085BA3F}"/>
            </c:ext>
          </c:extLst>
        </c:ser>
        <c:ser>
          <c:idx val="4"/>
          <c:order val="4"/>
          <c:tx>
            <c:strRef>
              <c:f>old_bert_base_bz_32!$G$1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old_bert_base_bz_32!$G$2:$G$5</c:f>
              <c:numCache>
                <c:formatCode>General</c:formatCode>
                <c:ptCount val="4"/>
                <c:pt idx="0">
                  <c:v>132.63999999999999</c:v>
                </c:pt>
                <c:pt idx="1">
                  <c:v>615.12</c:v>
                </c:pt>
                <c:pt idx="2">
                  <c:v>1116.02</c:v>
                </c:pt>
                <c:pt idx="3">
                  <c:v>2073.6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21-4F64-8D2A-FA376085B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size=32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old_bert_base_bz_32!$H$1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old_bert_base_bz_32!$H$2:$H$5</c:f>
              <c:numCache>
                <c:formatCode>0.00_ </c:formatCode>
                <c:ptCount val="4"/>
                <c:pt idx="0">
                  <c:v>1</c:v>
                </c:pt>
                <c:pt idx="1">
                  <c:v>7.1825631843536941</c:v>
                </c:pt>
                <c:pt idx="2">
                  <c:v>13.017423042490186</c:v>
                </c:pt>
                <c:pt idx="3">
                  <c:v>25.584188416775703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A5-4A1F-A7BB-586A30E4ACE7}"/>
            </c:ext>
          </c:extLst>
        </c:ser>
        <c:ser>
          <c:idx val="0"/>
          <c:order val="1"/>
          <c:tx>
            <c:strRef>
              <c:f>old_bert_base_bz_32!$I$1</c:f>
              <c:strCache>
                <c:ptCount val="1"/>
                <c:pt idx="0">
                  <c:v>TensorFlow 1.x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old_bert_base_bz_32!$I$2:$I$5</c:f>
              <c:numCache>
                <c:formatCode>0.00_ </c:formatCode>
                <c:ptCount val="4"/>
                <c:pt idx="0">
                  <c:v>1</c:v>
                </c:pt>
                <c:pt idx="1">
                  <c:v>7.5520599250936327</c:v>
                </c:pt>
                <c:pt idx="2">
                  <c:v>10.207865168539326</c:v>
                </c:pt>
                <c:pt idx="3">
                  <c:v>18.011985018726591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2E-4B30-914A-F09E00015ADF}"/>
            </c:ext>
          </c:extLst>
        </c:ser>
        <c:ser>
          <c:idx val="1"/>
          <c:order val="2"/>
          <c:tx>
            <c:strRef>
              <c:f>old_bert_base_bz_32!$J$1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old_bert_base_bz_32!$J$2:$J$5</c:f>
              <c:numCache>
                <c:formatCode>0.00_ </c:formatCode>
                <c:ptCount val="4"/>
                <c:pt idx="0">
                  <c:v>1</c:v>
                </c:pt>
                <c:pt idx="1">
                  <c:v>7.0521617480514278</c:v>
                </c:pt>
                <c:pt idx="2">
                  <c:v>12.295316767703683</c:v>
                </c:pt>
                <c:pt idx="3">
                  <c:v>24.458397175404698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5-4A1F-A7BB-586A30E4ACE7}"/>
            </c:ext>
          </c:extLst>
        </c:ser>
        <c:ser>
          <c:idx val="2"/>
          <c:order val="3"/>
          <c:tx>
            <c:strRef>
              <c:f>old_bert_base_bz_32!$K$1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old_bert_base_bz_32!$K$2:$K$3</c:f>
              <c:numCache>
                <c:formatCode>0.00_ </c:formatCode>
                <c:ptCount val="2"/>
                <c:pt idx="0">
                  <c:v>1</c:v>
                </c:pt>
                <c:pt idx="1">
                  <c:v>7.5984449460747427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A5-4A1F-A7BB-586A30E4ACE7}"/>
            </c:ext>
          </c:extLst>
        </c:ser>
        <c:ser>
          <c:idx val="3"/>
          <c:order val="4"/>
          <c:tx>
            <c:strRef>
              <c:f>old_bert_base_bz_32!$L$1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old_bert_base_bz_32!$L$2:$L$5</c:f>
              <c:numCache>
                <c:formatCode>0.00_ </c:formatCode>
                <c:ptCount val="4"/>
                <c:pt idx="0">
                  <c:v>1</c:v>
                </c:pt>
                <c:pt idx="1">
                  <c:v>4.6375150784077208</c:v>
                </c:pt>
                <c:pt idx="2">
                  <c:v>8.4139022919179745</c:v>
                </c:pt>
                <c:pt idx="3">
                  <c:v>15.63329312424608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A5-4A1F-A7BB-586A30E4ACE7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A5-4A1F-A7BB-586A30E4A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size=64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old_bert_base_bz_64!$C$1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old_bert_base_bz_64!$C$2:$C$5</c:f>
              <c:numCache>
                <c:formatCode>General</c:formatCode>
                <c:ptCount val="4"/>
                <c:pt idx="0">
                  <c:v>149.81</c:v>
                </c:pt>
                <c:pt idx="1">
                  <c:v>1138.8900000000001</c:v>
                </c:pt>
                <c:pt idx="2">
                  <c:v>2189.3000000000002</c:v>
                </c:pt>
                <c:pt idx="3">
                  <c:v>4310.42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F-4720-928D-17CD50EB9684}"/>
            </c:ext>
          </c:extLst>
        </c:ser>
        <c:ser>
          <c:idx val="3"/>
          <c:order val="2"/>
          <c:tx>
            <c:strRef>
              <c:f>old_bert_base_bz_64!$E$1</c:f>
              <c:strCache>
                <c:ptCount val="1"/>
                <c:pt idx="0">
                  <c:v>MXNet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old_bert_base_bz_64!$E$2:$E$5</c:f>
              <c:numCache>
                <c:formatCode>0.00_ </c:formatCode>
                <c:ptCount val="4"/>
                <c:pt idx="0">
                  <c:v>156.76</c:v>
                </c:pt>
                <c:pt idx="1">
                  <c:v>1153.08</c:v>
                </c:pt>
                <c:pt idx="2">
                  <c:v>2172.62</c:v>
                </c:pt>
                <c:pt idx="3">
                  <c:v>4340.8900000000003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8CF-4720-928D-17CD50EB9684}"/>
            </c:ext>
          </c:extLst>
        </c:ser>
        <c:ser>
          <c:idx val="4"/>
          <c:order val="4"/>
          <c:tx>
            <c:strRef>
              <c:f>old_bert_base_bz_64!$G$1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old_bert_base_bz_64!$G$2:$G$5</c:f>
              <c:numCache>
                <c:formatCode>General</c:formatCode>
                <c:ptCount val="4"/>
                <c:pt idx="0">
                  <c:v>137.27000000000001</c:v>
                </c:pt>
                <c:pt idx="1">
                  <c:v>761.22</c:v>
                </c:pt>
                <c:pt idx="2">
                  <c:v>1426.52</c:v>
                </c:pt>
                <c:pt idx="3">
                  <c:v>2736.78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F-4720-928D-17CD50EB9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old_bert_base_bz_64!$D$1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old_bert_base_bz_64!$D$2:$D$5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8CF-4720-928D-17CD50EB9684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old_bert_base_bz_64!$F$1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old_bert_base_bz_64!$F$2:$F$5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8CF-4720-928D-17CD50EB9684}"/>
                  </c:ext>
                </c:extLst>
              </c15:ser>
            </c15:filteredBarSeries>
          </c:ext>
        </c:extLst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size=64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old_bert_base_bz_64!$H$1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old_bert_base_bz_64!$H$2:$H$5</c:f>
              <c:numCache>
                <c:formatCode>0.00_ </c:formatCode>
                <c:ptCount val="4"/>
                <c:pt idx="0">
                  <c:v>1</c:v>
                </c:pt>
                <c:pt idx="1">
                  <c:v>7.602229490688206</c:v>
                </c:pt>
                <c:pt idx="2">
                  <c:v>14.613844202656699</c:v>
                </c:pt>
                <c:pt idx="3">
                  <c:v>28.772578599559441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D-4C55-AE08-7DD5119D68AF}"/>
            </c:ext>
          </c:extLst>
        </c:ser>
        <c:ser>
          <c:idx val="1"/>
          <c:order val="2"/>
          <c:tx>
            <c:strRef>
              <c:f>old_bert_base_bz_64!$J$1</c:f>
              <c:strCache>
                <c:ptCount val="1"/>
                <c:pt idx="0">
                  <c:v>MXNet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xVal>
          <c:yVal>
            <c:numRef>
              <c:f>old_bert_base_bz_64!$J$2:$J$5</c:f>
              <c:numCache>
                <c:formatCode>0.00_ </c:formatCode>
                <c:ptCount val="4"/>
                <c:pt idx="0">
                  <c:v>1</c:v>
                </c:pt>
                <c:pt idx="1">
                  <c:v>7.3557029854554736</c:v>
                </c:pt>
                <c:pt idx="2">
                  <c:v>13.859530492472569</c:v>
                </c:pt>
                <c:pt idx="3">
                  <c:v>27.691311559071195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54D-4C55-AE08-7DD5119D68AF}"/>
            </c:ext>
          </c:extLst>
        </c:ser>
        <c:ser>
          <c:idx val="3"/>
          <c:order val="4"/>
          <c:tx>
            <c:strRef>
              <c:f>old_bert_base_bz_64!$L$1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old_bert_base_bz_64!$L$2:$L$5</c:f>
              <c:numCache>
                <c:formatCode>0.00_ </c:formatCode>
                <c:ptCount val="4"/>
                <c:pt idx="0">
                  <c:v>1</c:v>
                </c:pt>
                <c:pt idx="1">
                  <c:v>5.5454214322138844</c:v>
                </c:pt>
                <c:pt idx="2">
                  <c:v>10.392074014715524</c:v>
                </c:pt>
                <c:pt idx="3">
                  <c:v>19.937204050411598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4D-4C55-AE08-7DD5119D68AF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4D-4C55-AE08-7DD5119D6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old_bert_base_bz_64!$I$1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old_bert_base_bz_64!$B$2:$B$5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old_bert_base_bz_64!$I$2:$I$5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54D-4C55-AE08-7DD5119D68A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old_bert_base_bz_64!$K$1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triangle"/>
                  <c:size val="5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old_bert_base_bz_64!$K$2:$K$5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54D-4C55-AE08-7DD5119D68AF}"/>
                  </c:ext>
                </c:extLst>
              </c15:ser>
            </c15:filteredScatterSeries>
          </c:ext>
        </c:extLst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size=96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old_bert_base_bz_96!$C$1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old_bert_base_bz_96!$C$2:$C$5</c:f>
              <c:numCache>
                <c:formatCode>General</c:formatCode>
                <c:ptCount val="4"/>
                <c:pt idx="0">
                  <c:v>149.84</c:v>
                </c:pt>
                <c:pt idx="1">
                  <c:v>1158.51</c:v>
                </c:pt>
                <c:pt idx="2">
                  <c:v>2257.71</c:v>
                </c:pt>
                <c:pt idx="3">
                  <c:v>4455.97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0-4BDB-BD1B-A879F29E489D}"/>
            </c:ext>
          </c:extLst>
        </c:ser>
        <c:ser>
          <c:idx val="4"/>
          <c:order val="4"/>
          <c:tx>
            <c:strRef>
              <c:f>old_bert_base_bz_96!$G$1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old_bert_base_bz_96!$G$2:$G$5</c:f>
              <c:numCache>
                <c:formatCode>General</c:formatCode>
                <c:ptCount val="4"/>
                <c:pt idx="0">
                  <c:v>136.97</c:v>
                </c:pt>
                <c:pt idx="1">
                  <c:v>868.6</c:v>
                </c:pt>
                <c:pt idx="2">
                  <c:v>1631.36</c:v>
                </c:pt>
                <c:pt idx="3">
                  <c:v>3167.68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0-4BDB-BD1B-A879F29E4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old_bert_base_bz_96!$D$1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old_bert_base_bz_96!$D$2:$D$5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C30-4BDB-BD1B-A879F29E489D}"/>
                  </c:ext>
                </c:extLst>
              </c15:ser>
            </c15:filteredBarSeries>
            <c15:filteredBa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old_bert_base_bz_96!$E$1</c15:sqref>
                        </c15:formulaRef>
                      </c:ext>
                    </c:extLst>
                    <c:strCache>
                      <c:ptCount val="1"/>
                      <c:pt idx="0">
                        <c:v>MXNet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old_bert_base_bz_96!$E$2:$E$5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C30-4BDB-BD1B-A879F29E489D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old_bert_base_bz_96!$F$1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old_bert_base_bz_96!$F$2:$F$5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C30-4BDB-BD1B-A879F29E489D}"/>
                  </c:ext>
                </c:extLst>
              </c15:ser>
            </c15:filteredBarSeries>
          </c:ext>
        </c:extLst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size=96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old_bert_base_bz_96!$H$1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old_bert_base_bz_96!$B$2:$B$5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old_bert_base_bz_96!$H$2:$H$5</c:f>
              <c:numCache>
                <c:formatCode>0.00_ </c:formatCode>
                <c:ptCount val="4"/>
                <c:pt idx="0">
                  <c:v>1</c:v>
                </c:pt>
                <c:pt idx="1">
                  <c:v>7.7316470902295782</c:v>
                </c:pt>
                <c:pt idx="2">
                  <c:v>15.067471970101442</c:v>
                </c:pt>
                <c:pt idx="3">
                  <c:v>29.738187399893221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8-46D0-B1F3-022F028D06FD}"/>
            </c:ext>
          </c:extLst>
        </c:ser>
        <c:ser>
          <c:idx val="3"/>
          <c:order val="4"/>
          <c:tx>
            <c:strRef>
              <c:f>old_bert_base_bz_96!$L$1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old_bert_base_bz_96!$B$2:$B$5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old_bert_base_bz_96!$L$2:$L$5</c:f>
              <c:numCache>
                <c:formatCode>0.00_ </c:formatCode>
                <c:ptCount val="4"/>
                <c:pt idx="0">
                  <c:v>1</c:v>
                </c:pt>
                <c:pt idx="1">
                  <c:v>6.3415346426224719</c:v>
                </c:pt>
                <c:pt idx="2">
                  <c:v>11.910345331094399</c:v>
                </c:pt>
                <c:pt idx="3">
                  <c:v>23.12681609111484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8-46D0-B1F3-022F028D06FD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08-46D0-B1F3-022F028D0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old_bert_base_bz_96!$I$1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old_bert_base_bz_96!$I$2:$I$5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D508-46D0-B1F3-022F028D06F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old_bert_base_bz_96!$J$1</c15:sqref>
                        </c15:formulaRef>
                      </c:ext>
                    </c:extLst>
                    <c:strCache>
                      <c:ptCount val="1"/>
                      <c:pt idx="0">
                        <c:v>MXNet</c:v>
                      </c:pt>
                    </c:strCache>
                  </c:strRef>
                </c:tx>
                <c:spPr>
                  <a:ln>
                    <a:solidFill>
                      <a:schemeClr val="accent5"/>
                    </a:solidFill>
                  </a:ln>
                </c:spPr>
                <c:marker>
                  <c:spPr>
                    <a:solidFill>
                      <a:schemeClr val="accent5"/>
                    </a:solidFill>
                    <a:ln>
                      <a:solidFill>
                        <a:schemeClr val="accent5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old_bert_base_bz_96!$J$2:$J$5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508-46D0-B1F3-022F028D06F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old_bert_base_bz_96!$K$1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triangle"/>
                  <c:size val="5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old_bert_base_bz_96!$K$2:$K$5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508-46D0-B1F3-022F028D06FD}"/>
                  </c:ext>
                </c:extLst>
              </c15:ser>
            </c15:filteredScatterSeries>
          </c:ext>
        </c:extLst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ResNet50v1.5 batch size=128 Throughput images/sec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old_r50_bz128!$C$1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old_r50_bz128!$C$2:$C$5</c:f>
              <c:numCache>
                <c:formatCode>0.00_ </c:formatCode>
                <c:ptCount val="4"/>
                <c:pt idx="0">
                  <c:v>384.85</c:v>
                </c:pt>
                <c:pt idx="1">
                  <c:v>2969.45</c:v>
                </c:pt>
                <c:pt idx="2">
                  <c:v>5906.55</c:v>
                </c:pt>
                <c:pt idx="3">
                  <c:v>11711.18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6F9-BF4D-B8E6D947A27B}"/>
            </c:ext>
          </c:extLst>
        </c:ser>
        <c:ser>
          <c:idx val="2"/>
          <c:order val="1"/>
          <c:tx>
            <c:strRef>
              <c:f>old_r50_bz128!$D$1</c:f>
              <c:strCache>
                <c:ptCount val="1"/>
                <c:pt idx="0">
                  <c:v>TensorFlow 1.x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old_r50_bz128!$D$2:$D$5</c:f>
              <c:numCache>
                <c:formatCode>0.00_ </c:formatCode>
                <c:ptCount val="4"/>
                <c:pt idx="0">
                  <c:v>362.44</c:v>
                </c:pt>
                <c:pt idx="1">
                  <c:v>2721.98</c:v>
                </c:pt>
                <c:pt idx="2">
                  <c:v>5099.42</c:v>
                </c:pt>
                <c:pt idx="3">
                  <c:v>9514.64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6F9-BF4D-B8E6D947A27B}"/>
            </c:ext>
          </c:extLst>
        </c:ser>
        <c:ser>
          <c:idx val="3"/>
          <c:order val="2"/>
          <c:tx>
            <c:strRef>
              <c:f>old_r50_bz128!$E$1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old_r50_bz128!$E$2:$E$5</c:f>
              <c:numCache>
                <c:formatCode>0.00_ </c:formatCode>
                <c:ptCount val="4"/>
                <c:pt idx="0">
                  <c:v>391.88</c:v>
                </c:pt>
                <c:pt idx="1">
                  <c:v>2999.5</c:v>
                </c:pt>
                <c:pt idx="2">
                  <c:v>5712.53</c:v>
                </c:pt>
                <c:pt idx="3">
                  <c:v>11233.92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D9-46F9-BF4D-B8E6D947A27B}"/>
            </c:ext>
          </c:extLst>
        </c:ser>
        <c:ser>
          <c:idx val="1"/>
          <c:order val="3"/>
          <c:tx>
            <c:strRef>
              <c:f>old_r50_bz128!$F$1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old_r50_bz128!$F$2:$F$5</c:f>
              <c:numCache>
                <c:formatCode>0.00_ </c:formatCode>
                <c:ptCount val="4"/>
                <c:pt idx="0">
                  <c:v>354.4</c:v>
                </c:pt>
                <c:pt idx="1">
                  <c:v>2719.07</c:v>
                </c:pt>
                <c:pt idx="2">
                  <c:v>5307.21</c:v>
                </c:pt>
                <c:pt idx="3">
                  <c:v>10632.33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D9-46F9-BF4D-B8E6D947A27B}"/>
            </c:ext>
          </c:extLst>
        </c:ser>
        <c:ser>
          <c:idx val="4"/>
          <c:order val="4"/>
          <c:tx>
            <c:strRef>
              <c:f>old_r50_bz128!$G$1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old_r50_bz128!$G$2:$G$5</c:f>
              <c:numCache>
                <c:formatCode>0.00_ </c:formatCode>
                <c:ptCount val="4"/>
                <c:pt idx="0">
                  <c:v>352.72</c:v>
                </c:pt>
                <c:pt idx="1">
                  <c:v>2625.38</c:v>
                </c:pt>
                <c:pt idx="2">
                  <c:v>4895.2700000000004</c:v>
                </c:pt>
                <c:pt idx="3">
                  <c:v>9348.17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D9-46F9-BF4D-B8E6D947A27B}"/>
            </c:ext>
          </c:extLst>
        </c:ser>
        <c:ser>
          <c:idx val="5"/>
          <c:order val="5"/>
          <c:tx>
            <c:strRef>
              <c:f>old_r50_bz128!$H$1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old_r50_bz128!$H$2:$H$5</c:f>
              <c:numCache>
                <c:formatCode>0.00_ </c:formatCode>
                <c:ptCount val="4"/>
                <c:pt idx="0">
                  <c:v>321.8</c:v>
                </c:pt>
                <c:pt idx="1">
                  <c:v>2458.7399999999998</c:v>
                </c:pt>
                <c:pt idx="2">
                  <c:v>4849.68</c:v>
                </c:pt>
                <c:pt idx="3">
                  <c:v>9418.44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D9-46F9-BF4D-B8E6D947A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ResNet50v1.5 batch size=128 </a:t>
            </a:r>
            <a:r>
              <a:rPr lang="en-US" altLang="zh-CN" baseline="0"/>
              <a:t>Speedup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old_r50_bz128!$I$1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old_r50_bz128!$I$2:$I$5</c:f>
              <c:numCache>
                <c:formatCode>0.00_ </c:formatCode>
                <c:ptCount val="4"/>
                <c:pt idx="0">
                  <c:v>1</c:v>
                </c:pt>
                <c:pt idx="1">
                  <c:v>7.7158633233727416</c:v>
                </c:pt>
                <c:pt idx="2">
                  <c:v>15.347667922567233</c:v>
                </c:pt>
                <c:pt idx="3">
                  <c:v>30.430505391711055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C-4A22-A911-AF3E326CE5DB}"/>
            </c:ext>
          </c:extLst>
        </c:ser>
        <c:ser>
          <c:idx val="0"/>
          <c:order val="1"/>
          <c:tx>
            <c:strRef>
              <c:f>old_r50_bz128!$J$1</c:f>
              <c:strCache>
                <c:ptCount val="1"/>
                <c:pt idx="0">
                  <c:v>TensorFlow1.x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old_r50_bz128!$J$2:$J$5</c:f>
              <c:numCache>
                <c:formatCode>0.00_ </c:formatCode>
                <c:ptCount val="4"/>
                <c:pt idx="0">
                  <c:v>1</c:v>
                </c:pt>
                <c:pt idx="1">
                  <c:v>7.5101534047014677</c:v>
                </c:pt>
                <c:pt idx="2">
                  <c:v>14.069694294228011</c:v>
                </c:pt>
                <c:pt idx="3">
                  <c:v>26.251627855645072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DC-4A22-A911-AF3E326CE5DB}"/>
            </c:ext>
          </c:extLst>
        </c:ser>
        <c:ser>
          <c:idx val="1"/>
          <c:order val="2"/>
          <c:tx>
            <c:strRef>
              <c:f>old_r50_bz128!$K$1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triangle"/>
            <c:size val="5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old_r50_bz128!$K$2:$K$5</c:f>
              <c:numCache>
                <c:formatCode>0.00_ </c:formatCode>
                <c:ptCount val="4"/>
                <c:pt idx="0">
                  <c:v>1</c:v>
                </c:pt>
                <c:pt idx="1">
                  <c:v>7.6541288149433502</c:v>
                </c:pt>
                <c:pt idx="2">
                  <c:v>14.577243033581707</c:v>
                </c:pt>
                <c:pt idx="3">
                  <c:v>28.666734714708586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DC-4A22-A911-AF3E326CE5DB}"/>
            </c:ext>
          </c:extLst>
        </c:ser>
        <c:ser>
          <c:idx val="2"/>
          <c:order val="3"/>
          <c:tx>
            <c:strRef>
              <c:f>old_r50_bz128!$L$1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old_r50_bz128!$L$2:$L$5</c:f>
              <c:numCache>
                <c:formatCode>0.00_ </c:formatCode>
                <c:ptCount val="4"/>
                <c:pt idx="0">
                  <c:v>1</c:v>
                </c:pt>
                <c:pt idx="1">
                  <c:v>7.6723194130925521</c:v>
                </c:pt>
                <c:pt idx="2">
                  <c:v>14.975197516930024</c:v>
                </c:pt>
                <c:pt idx="3">
                  <c:v>30.000931151241538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DC-4A22-A911-AF3E326CE5DB}"/>
            </c:ext>
          </c:extLst>
        </c:ser>
        <c:ser>
          <c:idx val="3"/>
          <c:order val="4"/>
          <c:tx>
            <c:strRef>
              <c:f>old_r50_bz128!$M$1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diamond"/>
            <c:size val="5"/>
            <c:spPr>
              <a:solidFill>
                <a:srgbClr val="3366FF"/>
              </a:solidFill>
              <a:ln>
                <a:solidFill>
                  <a:srgbClr val="3366FF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old_r50_bz128!$M$2:$M$5</c:f>
              <c:numCache>
                <c:formatCode>0.00_ </c:formatCode>
                <c:ptCount val="4"/>
                <c:pt idx="0">
                  <c:v>1</c:v>
                </c:pt>
                <c:pt idx="1">
                  <c:v>7.4432410977545924</c:v>
                </c:pt>
                <c:pt idx="2">
                  <c:v>13.878628940802903</c:v>
                </c:pt>
                <c:pt idx="3">
                  <c:v>26.503090269902469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DC-4A22-A911-AF3E326CE5DB}"/>
            </c:ext>
          </c:extLst>
        </c:ser>
        <c:ser>
          <c:idx val="4"/>
          <c:order val="5"/>
          <c:tx>
            <c:strRef>
              <c:f>old_r50_bz128!$N$1</c:f>
              <c:strCache>
                <c:ptCount val="1"/>
                <c:pt idx="0">
                  <c:v>TensorFlow2.x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triangle"/>
            <c:size val="5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old_r50_bz128!$N$2:$N$5</c:f>
              <c:numCache>
                <c:formatCode>0.00_ </c:formatCode>
                <c:ptCount val="4"/>
                <c:pt idx="0">
                  <c:v>1</c:v>
                </c:pt>
                <c:pt idx="1">
                  <c:v>7.6405842137973892</c:v>
                </c:pt>
                <c:pt idx="2">
                  <c:v>15.070478558110628</c:v>
                </c:pt>
                <c:pt idx="3">
                  <c:v>29.267992541951525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DC-4A22-A911-AF3E326CE5DB}"/>
            </c:ext>
          </c:extLst>
        </c:ser>
        <c:ser>
          <c:idx val="5"/>
          <c:order val="6"/>
          <c:tx>
            <c:v>Ideal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DC-4A22-A911-AF3E326CE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OneFlow BERT base Throughput seq/sec on different batch sizes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old_of_bert_base!$G$1</c:f>
              <c:strCache>
                <c:ptCount val="1"/>
                <c:pt idx="0">
                  <c:v>bsz=24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old_of_bert_base!$G$2:$G$5</c:f>
              <c:numCache>
                <c:formatCode>General</c:formatCode>
                <c:ptCount val="4"/>
                <c:pt idx="0">
                  <c:v>139.97999999999999</c:v>
                </c:pt>
                <c:pt idx="1">
                  <c:v>985.1</c:v>
                </c:pt>
                <c:pt idx="2">
                  <c:v>1700.05</c:v>
                </c:pt>
                <c:pt idx="3">
                  <c:v>3312.17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38-40F6-9EE8-236C656DB4BB}"/>
            </c:ext>
          </c:extLst>
        </c:ser>
        <c:ser>
          <c:idx val="1"/>
          <c:order val="1"/>
          <c:tx>
            <c:strRef>
              <c:f>old_of_bert_base!$F$1</c:f>
              <c:strCache>
                <c:ptCount val="1"/>
                <c:pt idx="0">
                  <c:v>bsz=32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old_of_bert_base!$F$2:$F$5</c:f>
              <c:numCache>
                <c:formatCode>0.00_ </c:formatCode>
                <c:ptCount val="4"/>
                <c:pt idx="0">
                  <c:v>145.21</c:v>
                </c:pt>
                <c:pt idx="1">
                  <c:v>1042.98</c:v>
                </c:pt>
                <c:pt idx="2">
                  <c:v>1890.26</c:v>
                </c:pt>
                <c:pt idx="3">
                  <c:v>3715.08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4C38-40F6-9EE8-236C656DB4BB}"/>
            </c:ext>
          </c:extLst>
        </c:ser>
        <c:ser>
          <c:idx val="3"/>
          <c:order val="2"/>
          <c:tx>
            <c:strRef>
              <c:f>old_of_bert_base!$E$1</c:f>
              <c:strCache>
                <c:ptCount val="1"/>
                <c:pt idx="0">
                  <c:v>bsz=48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old_of_bert_base!$E$2:$E$5</c:f>
              <c:numCache>
                <c:formatCode>0.00_ </c:formatCode>
                <c:ptCount val="4"/>
                <c:pt idx="0">
                  <c:v>148.01</c:v>
                </c:pt>
                <c:pt idx="1">
                  <c:v>1103.01</c:v>
                </c:pt>
                <c:pt idx="2">
                  <c:v>2078.66</c:v>
                </c:pt>
                <c:pt idx="3">
                  <c:v>4090.99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38-40F6-9EE8-236C656DB4BB}"/>
            </c:ext>
          </c:extLst>
        </c:ser>
        <c:ser>
          <c:idx val="2"/>
          <c:order val="3"/>
          <c:tx>
            <c:strRef>
              <c:f>old_of_bert_base!$D$1</c:f>
              <c:strCache>
                <c:ptCount val="1"/>
                <c:pt idx="0">
                  <c:v>bsz=64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old_of_bert_base!$D$2:$D$5</c:f>
              <c:numCache>
                <c:formatCode>0.00_ </c:formatCode>
                <c:ptCount val="4"/>
                <c:pt idx="0">
                  <c:v>149.81</c:v>
                </c:pt>
                <c:pt idx="1">
                  <c:v>1138.8900000000001</c:v>
                </c:pt>
                <c:pt idx="2">
                  <c:v>2189.3000000000002</c:v>
                </c:pt>
                <c:pt idx="3">
                  <c:v>4310.42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C38-40F6-9EE8-236C656DB4BB}"/>
            </c:ext>
          </c:extLst>
        </c:ser>
        <c:ser>
          <c:idx val="0"/>
          <c:order val="4"/>
          <c:tx>
            <c:strRef>
              <c:f>old_of_bert_base!$C$1</c:f>
              <c:strCache>
                <c:ptCount val="1"/>
                <c:pt idx="0">
                  <c:v>bsz=96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old_of_bert_base!$C$2:$C$5</c:f>
              <c:numCache>
                <c:formatCode>General</c:formatCode>
                <c:ptCount val="4"/>
                <c:pt idx="0">
                  <c:v>149.84</c:v>
                </c:pt>
                <c:pt idx="1">
                  <c:v>1158.51</c:v>
                </c:pt>
                <c:pt idx="2">
                  <c:v>2257.71</c:v>
                </c:pt>
                <c:pt idx="3">
                  <c:v>4455.97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38-40F6-9EE8-236C656DB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3983176"/>
        <c:axId val="393978256"/>
        <c:extLst/>
      </c:barChart>
      <c:catAx>
        <c:axId val="39398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78256"/>
        <c:crosses val="autoZero"/>
        <c:auto val="1"/>
        <c:lblAlgn val="ctr"/>
        <c:lblOffset val="100"/>
        <c:noMultiLvlLbl val="0"/>
      </c:catAx>
      <c:valAx>
        <c:axId val="39397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9398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OneFlow BERT base Speedup on different batch sizes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old_of_bert_base!$H$1</c:f>
              <c:strCache>
                <c:ptCount val="1"/>
                <c:pt idx="0">
                  <c:v>bsz=96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old_of_bert_base!$H$2:$H$5</c:f>
              <c:numCache>
                <c:formatCode>0.00_ </c:formatCode>
                <c:ptCount val="4"/>
                <c:pt idx="0">
                  <c:v>1</c:v>
                </c:pt>
                <c:pt idx="1">
                  <c:v>7.7316470902295782</c:v>
                </c:pt>
                <c:pt idx="2">
                  <c:v>15.067471970101442</c:v>
                </c:pt>
                <c:pt idx="3">
                  <c:v>29.738187399893221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A3-4F93-9C41-BC20D4CF4C6C}"/>
            </c:ext>
          </c:extLst>
        </c:ser>
        <c:ser>
          <c:idx val="0"/>
          <c:order val="1"/>
          <c:tx>
            <c:strRef>
              <c:f>old_of_bert_base!$I$1</c:f>
              <c:strCache>
                <c:ptCount val="1"/>
                <c:pt idx="0">
                  <c:v>bsz=64</c:v>
                </c:pt>
              </c:strCache>
            </c:strRef>
          </c:tx>
          <c:spPr>
            <a:ln>
              <a:solidFill>
                <a:schemeClr val="accent5">
                  <a:lumMod val="50000"/>
                </a:schemeClr>
              </a:solidFill>
            </a:ln>
          </c:spPr>
          <c:marker>
            <c:spPr>
              <a:solidFill>
                <a:schemeClr val="accent5">
                  <a:lumMod val="5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old_of_bert_base!$I$2:$I$5</c:f>
              <c:numCache>
                <c:formatCode>0.00_ </c:formatCode>
                <c:ptCount val="4"/>
                <c:pt idx="0">
                  <c:v>1</c:v>
                </c:pt>
                <c:pt idx="1">
                  <c:v>7.602229490688206</c:v>
                </c:pt>
                <c:pt idx="2">
                  <c:v>14.613844202656699</c:v>
                </c:pt>
                <c:pt idx="3">
                  <c:v>28.772578599559441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A3-4F93-9C41-BC20D4CF4C6C}"/>
            </c:ext>
          </c:extLst>
        </c:ser>
        <c:ser>
          <c:idx val="1"/>
          <c:order val="2"/>
          <c:tx>
            <c:strRef>
              <c:f>old_of_bert_base!$J$1</c:f>
              <c:strCache>
                <c:ptCount val="1"/>
                <c:pt idx="0">
                  <c:v>bsz=48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old_of_bert_base!$J$2:$J$5</c:f>
              <c:numCache>
                <c:formatCode>0.00_ </c:formatCode>
                <c:ptCount val="4"/>
                <c:pt idx="0">
                  <c:v>1</c:v>
                </c:pt>
                <c:pt idx="1">
                  <c:v>7.4522667387338695</c:v>
                </c:pt>
                <c:pt idx="2">
                  <c:v>14.04405107762989</c:v>
                </c:pt>
                <c:pt idx="3">
                  <c:v>27.639956759678402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BA3-4F93-9C41-BC20D4CF4C6C}"/>
            </c:ext>
          </c:extLst>
        </c:ser>
        <c:ser>
          <c:idx val="2"/>
          <c:order val="3"/>
          <c:tx>
            <c:strRef>
              <c:f>old_of_bert_base!$K$1</c:f>
              <c:strCache>
                <c:ptCount val="1"/>
                <c:pt idx="0">
                  <c:v>bsz=32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old_of_bert_base!$K$2:$K$5</c:f>
              <c:numCache>
                <c:formatCode>0.00_ </c:formatCode>
                <c:ptCount val="4"/>
                <c:pt idx="0">
                  <c:v>1</c:v>
                </c:pt>
                <c:pt idx="1">
                  <c:v>7.1825631843536941</c:v>
                </c:pt>
                <c:pt idx="2">
                  <c:v>13.017423042490186</c:v>
                </c:pt>
                <c:pt idx="3">
                  <c:v>25.584188416775703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BA3-4F93-9C41-BC20D4CF4C6C}"/>
            </c:ext>
          </c:extLst>
        </c:ser>
        <c:ser>
          <c:idx val="3"/>
          <c:order val="4"/>
          <c:tx>
            <c:strRef>
              <c:f>old_of_bert_base!$L$1</c:f>
              <c:strCache>
                <c:ptCount val="1"/>
                <c:pt idx="0">
                  <c:v>bsz=24</c:v>
                </c:pt>
              </c:strCache>
            </c:strRef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solidFill>
                  <a:schemeClr val="accent5">
                    <a:lumMod val="40000"/>
                    <a:lumOff val="6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old_of_bert_base!$L$2:$L$5</c:f>
              <c:numCache>
                <c:formatCode>0.00_ </c:formatCode>
                <c:ptCount val="4"/>
                <c:pt idx="0">
                  <c:v>1</c:v>
                </c:pt>
                <c:pt idx="1">
                  <c:v>7.0374339191313053</c:v>
                </c:pt>
                <c:pt idx="2">
                  <c:v>12.144949278468353</c:v>
                </c:pt>
                <c:pt idx="3">
                  <c:v>23.661737391055869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A3-4F93-9C41-BC20D4CF4C6C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A3-4F93-9C41-BC20D4CF4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  <c:extLst/>
      </c:scatterChart>
      <c:valAx>
        <c:axId val="70618016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4"/>
      </c:valAx>
      <c:valAx>
        <c:axId val="70617819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Latency vs Throughput on different batch sizes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989540707036385"/>
          <c:y val="0.13055999804068039"/>
          <c:w val="0.85663367360505827"/>
          <c:h val="0.74726760632370415"/>
        </c:manualLayout>
      </c:layout>
      <c:scatterChart>
        <c:scatterStyle val="lineMarker"/>
        <c:varyColors val="0"/>
        <c:ser>
          <c:idx val="6"/>
          <c:order val="0"/>
          <c:tx>
            <c:strRef>
              <c:f>old_of_bert_base!$R$2</c:f>
              <c:strCache>
                <c:ptCount val="1"/>
                <c:pt idx="0">
                  <c:v>1 node 1 gpu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4E16D2-9A1D-4FFA-B9FF-DF7D930E435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{664E16D2-9A1D-4FFA-B9FF-DF7D930E4357}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D1189D-C280-4ED6-96BE-B99173F3972A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{B9D1189D-C280-4ED6-96BE-B99173F3972A}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5282D2-335C-42E0-B1DF-1702E5939A4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{D45282D2-335C-42E0-B1DF-1702E5939A47}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E5E567-02E4-4B58-908D-CA4D1D9C4450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{20E5E567-02E4-4B58-908D-CA4D1D9C4450}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A10C87-7BFD-418A-A606-BFC2C9BBEDBE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{F5A10C87-7BFD-418A-A606-BFC2C9BBEDBE}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old_of_bert_base!$M$2:$Q$2</c:f>
              <c:numCache>
                <c:formatCode>General</c:formatCode>
                <c:ptCount val="5"/>
                <c:pt idx="0">
                  <c:v>640.68339562199685</c:v>
                </c:pt>
                <c:pt idx="1">
                  <c:v>427.20779654228693</c:v>
                </c:pt>
                <c:pt idx="2">
                  <c:v>324.30241199918925</c:v>
                </c:pt>
                <c:pt idx="3">
                  <c:v>220.37049789959369</c:v>
                </c:pt>
                <c:pt idx="4">
                  <c:v>171.45306472353195</c:v>
                </c:pt>
              </c:numCache>
            </c:numRef>
          </c:xVal>
          <c:yVal>
            <c:numRef>
              <c:f>old_of_bert_base!$C$2:$G$2</c:f>
              <c:numCache>
                <c:formatCode>0.00_ </c:formatCode>
                <c:ptCount val="5"/>
                <c:pt idx="0" formatCode="General">
                  <c:v>149.84</c:v>
                </c:pt>
                <c:pt idx="1">
                  <c:v>149.81</c:v>
                </c:pt>
                <c:pt idx="2">
                  <c:v>148.01</c:v>
                </c:pt>
                <c:pt idx="3">
                  <c:v>145.21</c:v>
                </c:pt>
                <c:pt idx="4" formatCode="General">
                  <c:v>139.97999999999999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5E-49B4-8A49-D30CBB6149A3}"/>
            </c:ext>
          </c:extLst>
        </c:ser>
        <c:ser>
          <c:idx val="0"/>
          <c:order val="1"/>
          <c:tx>
            <c:strRef>
              <c:f>old_of_bert_base!$R$3</c:f>
              <c:strCache>
                <c:ptCount val="1"/>
                <c:pt idx="0">
                  <c:v>1 node 8 gpus</c:v>
                </c:pt>
              </c:strCache>
            </c:strRef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EAD0E51-D3E2-4722-AD7E-5DD23C5ADB13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{CEAD0E51-D3E2-4722-AD7E-5DD23C5ADB13}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2836FD-3316-4128-9850-8266F53CEF0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{CE2836FD-3316-4128-9850-8266F53CEF07}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39C6E2-E1DA-47E0-A8CC-D49052302B6C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{8C39C6E2-E1DA-47E0-A8CC-D49052302B6C}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A2208B-EFA4-4A50-98F7-660602559C43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{72A2208B-EFA4-4A50-98F7-660602559C43}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7DC45E-FBDB-4099-91B1-3C51F751982E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{BA7DC45E-FBDB-4099-91B1-3C51F751982E}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old_of_bert_base!$M$3:$Q$3</c:f>
              <c:numCache>
                <c:formatCode>General</c:formatCode>
                <c:ptCount val="5"/>
                <c:pt idx="0">
                  <c:v>662.92047543827846</c:v>
                </c:pt>
                <c:pt idx="1">
                  <c:v>449.5605370141102</c:v>
                </c:pt>
                <c:pt idx="2">
                  <c:v>348.13827617156687</c:v>
                </c:pt>
                <c:pt idx="3">
                  <c:v>245.45053596425626</c:v>
                </c:pt>
                <c:pt idx="4">
                  <c:v>194.90407065272561</c:v>
                </c:pt>
              </c:numCache>
            </c:numRef>
          </c:xVal>
          <c:yVal>
            <c:numRef>
              <c:f>old_of_bert_base!$C$3:$G$3</c:f>
              <c:numCache>
                <c:formatCode>0.00_ </c:formatCode>
                <c:ptCount val="5"/>
                <c:pt idx="0" formatCode="General">
                  <c:v>1158.51</c:v>
                </c:pt>
                <c:pt idx="1">
                  <c:v>1138.8900000000001</c:v>
                </c:pt>
                <c:pt idx="2">
                  <c:v>1103.01</c:v>
                </c:pt>
                <c:pt idx="3">
                  <c:v>1042.98</c:v>
                </c:pt>
                <c:pt idx="4" formatCode="General">
                  <c:v>985.1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5E-49B4-8A49-D30CBB6149A3}"/>
            </c:ext>
          </c:extLst>
        </c:ser>
        <c:ser>
          <c:idx val="1"/>
          <c:order val="2"/>
          <c:tx>
            <c:strRef>
              <c:f>old_of_bert_base!$R$4</c:f>
              <c:strCache>
                <c:ptCount val="1"/>
                <c:pt idx="0">
                  <c:v>2 nodes 16 gpus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195525-5C51-4CA5-B295-99772BB503C1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{83195525-5C51-4CA5-B295-99772BB503C1}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D0C7B0-2031-460F-9534-3586AEADBE8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{0AD0C7B0-2031-460F-9534-3586AEADBE8B}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01925E-2D68-47E0-97AB-8175D961A8A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{E101925E-2D68-47E0-97AB-8175D961A8AB}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841ED1-3460-4A3B-A24E-EF203001C10A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{85841ED1-3460-4A3B-A24E-EF203001C10A}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542329-8D3F-41AE-B381-89D37682825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{22542329-8D3F-41AE-B381-89D376828257}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old_of_bert_base!$M$4:$Q$4</c:f>
              <c:numCache>
                <c:formatCode>General</c:formatCode>
                <c:ptCount val="5"/>
                <c:pt idx="0">
                  <c:v>680.33538408387267</c:v>
                </c:pt>
                <c:pt idx="1">
                  <c:v>467.72941122733289</c:v>
                </c:pt>
                <c:pt idx="2">
                  <c:v>369.46879239510071</c:v>
                </c:pt>
                <c:pt idx="3">
                  <c:v>270.86220943150681</c:v>
                </c:pt>
                <c:pt idx="4">
                  <c:v>225.87570953795478</c:v>
                </c:pt>
              </c:numCache>
            </c:numRef>
          </c:xVal>
          <c:yVal>
            <c:numRef>
              <c:f>old_of_bert_base!$C$4:$G$4</c:f>
              <c:numCache>
                <c:formatCode>0.00_ </c:formatCode>
                <c:ptCount val="5"/>
                <c:pt idx="0" formatCode="General">
                  <c:v>2257.71</c:v>
                </c:pt>
                <c:pt idx="1">
                  <c:v>2189.3000000000002</c:v>
                </c:pt>
                <c:pt idx="2">
                  <c:v>2078.66</c:v>
                </c:pt>
                <c:pt idx="3">
                  <c:v>1890.26</c:v>
                </c:pt>
                <c:pt idx="4" formatCode="General">
                  <c:v>1700.05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5E-49B4-8A49-D30CBB6149A3}"/>
            </c:ext>
          </c:extLst>
        </c:ser>
        <c:ser>
          <c:idx val="2"/>
          <c:order val="3"/>
          <c:tx>
            <c:strRef>
              <c:f>old_of_bert_base!$R$5</c:f>
              <c:strCache>
                <c:ptCount val="1"/>
                <c:pt idx="0">
                  <c:v>4 nodes 32 gpus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2">
                  <a:lumMod val="5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70A968-91D7-4238-BB85-8B6158FE44BD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{5C70A968-91D7-4238-BB85-8B6158FE44BD}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BE0768-F382-42D5-843A-B6A1B2E6BDA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{21BE0768-F382-42D5-843A-B6A1B2E6BDAB}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B53448-BE10-4BF8-B1C4-C3F3B769027C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{3DB53448-BE10-4BF8-B1C4-C3F3B769027C}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8B4EF9-1FDC-4702-AAE6-8B9D15732C4F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{B78B4EF9-1FDC-4702-AAE6-8B9D15732C4F}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63AC84-DEFA-438B-821F-A99D0F6E08B6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{8763AC84-DEFA-438B-821F-A99D0F6E08B6}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old_of_bert_base!$M$5:$Q$5</c:f>
              <c:numCache>
                <c:formatCode>General</c:formatCode>
                <c:ptCount val="5"/>
                <c:pt idx="0">
                  <c:v>689.41218185939317</c:v>
                </c:pt>
                <c:pt idx="1">
                  <c:v>475.12771377267183</c:v>
                </c:pt>
                <c:pt idx="2">
                  <c:v>375.45924091723521</c:v>
                </c:pt>
                <c:pt idx="3">
                  <c:v>275.63336455742541</c:v>
                </c:pt>
                <c:pt idx="4">
                  <c:v>231.87215632047872</c:v>
                </c:pt>
              </c:numCache>
            </c:numRef>
          </c:xVal>
          <c:yVal>
            <c:numRef>
              <c:f>old_of_bert_base!$C$5:$G$5</c:f>
              <c:numCache>
                <c:formatCode>0.00_ </c:formatCode>
                <c:ptCount val="5"/>
                <c:pt idx="0" formatCode="General">
                  <c:v>4455.97</c:v>
                </c:pt>
                <c:pt idx="1">
                  <c:v>4310.42</c:v>
                </c:pt>
                <c:pt idx="2">
                  <c:v>4090.99</c:v>
                </c:pt>
                <c:pt idx="3">
                  <c:v>3715.08</c:v>
                </c:pt>
                <c:pt idx="4" formatCode="General">
                  <c:v>3312.17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5E-49B4-8A49-D30CBB614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80160"/>
        <c:axId val="706178192"/>
        <c:extLst/>
      </c:scatterChart>
      <c:valAx>
        <c:axId val="706180160"/>
        <c:scaling>
          <c:orientation val="minMax"/>
          <c:max val="7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Latency ms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8348894240002355"/>
              <c:y val="0.921854546662679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78192"/>
        <c:crosses val="autoZero"/>
        <c:crossBetween val="midCat"/>
        <c:majorUnit val="100"/>
      </c:valAx>
      <c:valAx>
        <c:axId val="706178192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Throughput Seq/sec</a:t>
                </a:r>
                <a:endParaRPr lang="zh-CN" altLang="en-US"/>
              </a:p>
            </c:rich>
          </c:tx>
          <c:overlay val="0"/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6180160"/>
        <c:crosses val="autoZero"/>
        <c:crossBetween val="midCat"/>
        <c:majorUnit val="1000"/>
      </c:valAx>
    </c:plotArea>
    <c:legend>
      <c:legendPos val="b"/>
      <c:layout>
        <c:manualLayout>
          <c:xMode val="edge"/>
          <c:yMode val="edge"/>
          <c:x val="9.0809708823923055E-4"/>
          <c:y val="0.94751129670222012"/>
          <c:w val="0.74490050375973171"/>
          <c:h val="5.2488703297779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327026</xdr:colOff>
      <xdr:row>7</xdr:row>
      <xdr:rowOff>161926</xdr:rowOff>
    </xdr:from>
    <xdr:to>
      <xdr:col>8</xdr:col>
      <xdr:colOff>341314</xdr:colOff>
      <xdr:row>26</xdr:row>
      <xdr:rowOff>39689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EBE9AE1-3FD4-46CC-8D4C-A290F1AC6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323020</xdr:colOff>
      <xdr:row>26</xdr:row>
      <xdr:rowOff>198163</xdr:rowOff>
    </xdr:from>
    <xdr:to>
      <xdr:col>8</xdr:col>
      <xdr:colOff>339586</xdr:colOff>
      <xdr:row>46</xdr:row>
      <xdr:rowOff>186359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F0599A6-1E74-4735-91C5-2D1B6426C7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327026</xdr:colOff>
      <xdr:row>7</xdr:row>
      <xdr:rowOff>161926</xdr:rowOff>
    </xdr:from>
    <xdr:to>
      <xdr:col>8</xdr:col>
      <xdr:colOff>341314</xdr:colOff>
      <xdr:row>26</xdr:row>
      <xdr:rowOff>39689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81F5738-15F8-466C-B920-DB84FF2D5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323020</xdr:colOff>
      <xdr:row>26</xdr:row>
      <xdr:rowOff>198163</xdr:rowOff>
    </xdr:from>
    <xdr:to>
      <xdr:col>8</xdr:col>
      <xdr:colOff>339586</xdr:colOff>
      <xdr:row>46</xdr:row>
      <xdr:rowOff>186359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EC82FE7-4E2C-46FC-9113-D95AC57E9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311151</xdr:colOff>
      <xdr:row>7</xdr:row>
      <xdr:rowOff>149227</xdr:rowOff>
    </xdr:from>
    <xdr:to>
      <xdr:col>8</xdr:col>
      <xdr:colOff>327026</xdr:colOff>
      <xdr:row>26</xdr:row>
      <xdr:rowOff>25402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5C09D85-6848-4462-BDE1-81A37D02E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291272</xdr:colOff>
      <xdr:row>26</xdr:row>
      <xdr:rowOff>207691</xdr:rowOff>
    </xdr:from>
    <xdr:to>
      <xdr:col>8</xdr:col>
      <xdr:colOff>311013</xdr:colOff>
      <xdr:row>46</xdr:row>
      <xdr:rowOff>203824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BF482D9-DB20-4533-B53A-F3229363A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311151</xdr:colOff>
      <xdr:row>7</xdr:row>
      <xdr:rowOff>149227</xdr:rowOff>
    </xdr:from>
    <xdr:to>
      <xdr:col>8</xdr:col>
      <xdr:colOff>327026</xdr:colOff>
      <xdr:row>26</xdr:row>
      <xdr:rowOff>25402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98E19B2-3651-42CB-A0B7-52FF22846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291272</xdr:colOff>
      <xdr:row>26</xdr:row>
      <xdr:rowOff>207691</xdr:rowOff>
    </xdr:from>
    <xdr:to>
      <xdr:col>8</xdr:col>
      <xdr:colOff>311013</xdr:colOff>
      <xdr:row>46</xdr:row>
      <xdr:rowOff>203824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F3A6057-721F-4D58-9CE1-C481176B7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80353</xdr:colOff>
      <xdr:row>11</xdr:row>
      <xdr:rowOff>19419</xdr:rowOff>
    </xdr:from>
    <xdr:to>
      <xdr:col>9</xdr:col>
      <xdr:colOff>93053</xdr:colOff>
      <xdr:row>29</xdr:row>
      <xdr:rowOff>124317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07372E2-3607-4FAB-8147-C1F355A4B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71465</xdr:colOff>
      <xdr:row>30</xdr:row>
      <xdr:rowOff>2537</xdr:rowOff>
    </xdr:from>
    <xdr:to>
      <xdr:col>9</xdr:col>
      <xdr:colOff>91206</xdr:colOff>
      <xdr:row>50</xdr:row>
      <xdr:rowOff>1845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861997D-92E1-4132-8B99-C475C4F3E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538774</xdr:colOff>
      <xdr:row>11</xdr:row>
      <xdr:rowOff>101601</xdr:rowOff>
    </xdr:from>
    <xdr:to>
      <xdr:col>8</xdr:col>
      <xdr:colOff>556236</xdr:colOff>
      <xdr:row>29</xdr:row>
      <xdr:rowOff>201737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A62D06E-A3B9-435E-8B4F-B7EE4EC2D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531473</xdr:colOff>
      <xdr:row>30</xdr:row>
      <xdr:rowOff>46499</xdr:rowOff>
    </xdr:from>
    <xdr:to>
      <xdr:col>8</xdr:col>
      <xdr:colOff>551214</xdr:colOff>
      <xdr:row>50</xdr:row>
      <xdr:rowOff>44219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A70F8ED-501B-411D-8808-84DAAF241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9</xdr:col>
      <xdr:colOff>31750</xdr:colOff>
      <xdr:row>27</xdr:row>
      <xdr:rowOff>120650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390BF36-9F61-453B-BF56-91479D363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114300</xdr:rowOff>
    </xdr:from>
    <xdr:to>
      <xdr:col>9</xdr:col>
      <xdr:colOff>19050</xdr:colOff>
      <xdr:row>49</xdr:row>
      <xdr:rowOff>63500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498376-F391-4002-A752-7B85C5A90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180975</xdr:rowOff>
    </xdr:from>
    <xdr:to>
      <xdr:col>7</xdr:col>
      <xdr:colOff>381000</xdr:colOff>
      <xdr:row>27</xdr:row>
      <xdr:rowOff>104776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0D53EDA-B6F2-467B-8111-78D4244044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7</xdr:col>
      <xdr:colOff>368300</xdr:colOff>
      <xdr:row>49</xdr:row>
      <xdr:rowOff>146050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4BB274E-DC01-42AC-843F-E26F0E734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381000</xdr:colOff>
      <xdr:row>28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CE6F825-A58E-467A-9AF3-F8BE3CC7F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368300</xdr:colOff>
      <xdr:row>50</xdr:row>
      <xdr:rowOff>146050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363AC66-1BC5-4C71-B192-F3FD8CD3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323850</xdr:colOff>
      <xdr:row>29</xdr:row>
      <xdr:rowOff>165100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E08F1F26-1BFD-445D-92E2-F36F1FBC9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165100</xdr:colOff>
      <xdr:row>55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CFA38B83-26E8-425B-816D-59F21F298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381000</xdr:colOff>
      <xdr:row>28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05BE30B-DA08-4FE7-88BE-9DC778388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368300</xdr:colOff>
      <xdr:row>50</xdr:row>
      <xdr:rowOff>146050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D048573-EC63-48B3-BBBF-4BCF8D17C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393700</xdr:colOff>
      <xdr:row>6</xdr:row>
      <xdr:rowOff>88900</xdr:rowOff>
    </xdr:from>
    <xdr:to>
      <xdr:col>15</xdr:col>
      <xdr:colOff>762000</xdr:colOff>
      <xdr:row>29</xdr:row>
      <xdr:rowOff>76200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A711AA9C-C079-442E-8AD4-590BB7FB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19107-DDE1-42F3-866A-03FCFE064E2A}">
  <dimension ref="A1:P5"/>
  <sheetViews>
    <sheetView tabSelected="1" topLeftCell="A25" zoomScale="130" zoomScaleNormal="130" workbookViewId="0">
      <selection activeCell="J37" sqref="J37"/>
    </sheetView>
  </sheetViews>
  <sheetFormatPr defaultColWidth="11.69140625" defaultRowHeight="18" customHeight="1" x14ac:dyDescent="0.35"/>
  <sheetData>
    <row r="1" spans="1:16" ht="18" customHeight="1" thickBot="1" x14ac:dyDescent="0.35">
      <c r="A1" s="1" t="s">
        <v>1</v>
      </c>
      <c r="B1" s="1" t="s">
        <v>0</v>
      </c>
      <c r="C1" s="10" t="s">
        <v>2</v>
      </c>
      <c r="D1" s="18" t="s">
        <v>26</v>
      </c>
      <c r="E1" s="18" t="s">
        <v>27</v>
      </c>
      <c r="F1" s="18" t="s">
        <v>28</v>
      </c>
      <c r="G1" s="18" t="s">
        <v>29</v>
      </c>
      <c r="H1" s="10" t="s">
        <v>6</v>
      </c>
      <c r="I1" s="10" t="s">
        <v>7</v>
      </c>
      <c r="J1" s="10" t="s">
        <v>2</v>
      </c>
      <c r="K1" s="18" t="s">
        <v>26</v>
      </c>
      <c r="L1" s="18" t="s">
        <v>27</v>
      </c>
      <c r="M1" s="18" t="s">
        <v>28</v>
      </c>
      <c r="N1" s="18" t="s">
        <v>29</v>
      </c>
      <c r="O1" s="10" t="s">
        <v>6</v>
      </c>
      <c r="P1" s="12" t="s">
        <v>15</v>
      </c>
    </row>
    <row r="2" spans="1:16" ht="18" customHeight="1" thickBot="1" x14ac:dyDescent="0.35">
      <c r="A2" s="19">
        <v>1</v>
      </c>
      <c r="B2" s="19">
        <v>1</v>
      </c>
      <c r="C2" s="19">
        <v>397.64</v>
      </c>
      <c r="D2" s="19">
        <v>362.44</v>
      </c>
      <c r="E2" s="19">
        <v>367.29</v>
      </c>
      <c r="F2" s="19">
        <v>392.24</v>
      </c>
      <c r="G2" s="19">
        <v>348.62</v>
      </c>
      <c r="H2" s="19">
        <v>352.72</v>
      </c>
      <c r="I2" s="19">
        <v>321.8</v>
      </c>
      <c r="J2" s="5">
        <f t="shared" ref="J2:O2" si="0">C2/C$2</f>
        <v>1</v>
      </c>
      <c r="K2" s="5">
        <f t="shared" si="0"/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ref="N2:P5" si="1">I2/I$2</f>
        <v>1</v>
      </c>
    </row>
    <row r="3" spans="1:16" ht="18" customHeight="1" thickBot="1" x14ac:dyDescent="0.35">
      <c r="A3" s="20">
        <v>1</v>
      </c>
      <c r="B3" s="20">
        <v>8</v>
      </c>
      <c r="C3" s="20">
        <v>3130.34</v>
      </c>
      <c r="D3" s="20">
        <v>2721.98</v>
      </c>
      <c r="E3" s="20">
        <v>2887.65</v>
      </c>
      <c r="F3" s="20">
        <v>3006.98</v>
      </c>
      <c r="G3" s="20">
        <v>2632.93</v>
      </c>
      <c r="H3" s="20">
        <v>2625.38</v>
      </c>
      <c r="I3" s="20">
        <v>2458.7399999999998</v>
      </c>
      <c r="J3" s="5">
        <f t="shared" ref="J3:M5" si="2">C3/C$2</f>
        <v>7.8722965496428934</v>
      </c>
      <c r="K3" s="5">
        <f t="shared" si="2"/>
        <v>7.5101534047014677</v>
      </c>
      <c r="L3" s="5">
        <f t="shared" si="2"/>
        <v>7.862043616760598</v>
      </c>
      <c r="M3" s="5">
        <f t="shared" si="2"/>
        <v>7.6661737711605138</v>
      </c>
      <c r="N3" s="5">
        <f t="shared" si="1"/>
        <v>7.5524353163903388</v>
      </c>
      <c r="O3" s="5">
        <f t="shared" si="1"/>
        <v>7.4432410977545924</v>
      </c>
      <c r="P3" s="5">
        <f t="shared" si="1"/>
        <v>7.6405842137973892</v>
      </c>
    </row>
    <row r="4" spans="1:16" ht="18" customHeight="1" thickBot="1" x14ac:dyDescent="0.35">
      <c r="A4" s="19">
        <v>2</v>
      </c>
      <c r="B4" s="19">
        <v>16</v>
      </c>
      <c r="C4" s="19">
        <v>6260.3</v>
      </c>
      <c r="D4" s="19">
        <v>5099.42</v>
      </c>
      <c r="E4" s="19">
        <v>5716.79</v>
      </c>
      <c r="F4" s="19">
        <v>5758.49</v>
      </c>
      <c r="G4" s="19">
        <v>5115.3999999999996</v>
      </c>
      <c r="H4" s="19">
        <v>4895.2700000000004</v>
      </c>
      <c r="I4" s="19">
        <v>4849.68</v>
      </c>
      <c r="J4" s="5">
        <f t="shared" si="2"/>
        <v>15.743637461020018</v>
      </c>
      <c r="K4" s="5">
        <f t="shared" si="2"/>
        <v>14.069694294228011</v>
      </c>
      <c r="L4" s="5">
        <f t="shared" si="2"/>
        <v>15.564785319502299</v>
      </c>
      <c r="M4" s="5">
        <f t="shared" si="2"/>
        <v>14.681037120130531</v>
      </c>
      <c r="N4" s="5">
        <f t="shared" si="1"/>
        <v>14.673283231025184</v>
      </c>
      <c r="O4" s="5">
        <f t="shared" si="1"/>
        <v>13.878628940802903</v>
      </c>
      <c r="P4" s="5">
        <f t="shared" si="1"/>
        <v>15.070478558110628</v>
      </c>
    </row>
    <row r="5" spans="1:16" ht="18" customHeight="1" thickBot="1" x14ac:dyDescent="0.35">
      <c r="A5" s="20">
        <v>4</v>
      </c>
      <c r="B5" s="20">
        <v>32</v>
      </c>
      <c r="C5" s="20">
        <v>12411.97</v>
      </c>
      <c r="D5" s="20">
        <v>9514.64</v>
      </c>
      <c r="E5" s="20">
        <v>10917.09</v>
      </c>
      <c r="F5" s="20">
        <v>11331.93</v>
      </c>
      <c r="G5" s="20">
        <v>10021.290000000001</v>
      </c>
      <c r="H5" s="20">
        <v>9348.17</v>
      </c>
      <c r="I5" s="20">
        <v>9418.44</v>
      </c>
      <c r="J5" s="5">
        <f t="shared" si="2"/>
        <v>31.214088119907455</v>
      </c>
      <c r="K5" s="5">
        <f t="shared" si="2"/>
        <v>26.251627855645072</v>
      </c>
      <c r="L5" s="5">
        <f t="shared" si="2"/>
        <v>29.723352119578532</v>
      </c>
      <c r="M5" s="5">
        <f t="shared" si="2"/>
        <v>28.890296757087498</v>
      </c>
      <c r="N5" s="5">
        <f t="shared" si="1"/>
        <v>28.745596925018646</v>
      </c>
      <c r="O5" s="5">
        <f t="shared" si="1"/>
        <v>26.503090269902469</v>
      </c>
      <c r="P5" s="5">
        <f t="shared" si="1"/>
        <v>29.267992541951525</v>
      </c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125D-B436-4197-8863-6A596D3360FB}">
  <dimension ref="A1:R5"/>
  <sheetViews>
    <sheetView topLeftCell="A26" zoomScale="145" zoomScaleNormal="145" workbookViewId="0">
      <selection activeCell="J43" sqref="J43"/>
    </sheetView>
  </sheetViews>
  <sheetFormatPr defaultColWidth="11.69140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18" t="s">
        <v>28</v>
      </c>
      <c r="H1" s="10" t="s">
        <v>6</v>
      </c>
      <c r="I1" s="10" t="s">
        <v>7</v>
      </c>
      <c r="J1" s="21" t="s">
        <v>31</v>
      </c>
      <c r="K1" s="10" t="s">
        <v>2</v>
      </c>
      <c r="L1" s="21" t="s">
        <v>26</v>
      </c>
      <c r="M1" s="21" t="s">
        <v>30</v>
      </c>
      <c r="N1" s="18" t="s">
        <v>27</v>
      </c>
      <c r="O1" s="18" t="s">
        <v>28</v>
      </c>
      <c r="P1" s="10" t="s">
        <v>6</v>
      </c>
      <c r="Q1" s="10" t="s">
        <v>7</v>
      </c>
      <c r="R1" s="21" t="s">
        <v>31</v>
      </c>
    </row>
    <row r="2" spans="1:18" ht="18" customHeight="1" thickBot="1" x14ac:dyDescent="0.35">
      <c r="A2" s="19">
        <v>1</v>
      </c>
      <c r="B2" s="19">
        <v>1</v>
      </c>
      <c r="C2" s="19">
        <v>1472.72</v>
      </c>
      <c r="D2" s="19">
        <v>945.18</v>
      </c>
      <c r="E2" s="19">
        <v>1198.55</v>
      </c>
      <c r="F2" s="19">
        <v>802.9</v>
      </c>
      <c r="G2" s="19">
        <v>1393.87</v>
      </c>
      <c r="H2" s="19">
        <v>1034.6400000000001</v>
      </c>
      <c r="I2" s="19">
        <v>1075.27</v>
      </c>
      <c r="J2" s="19">
        <v>1035</v>
      </c>
      <c r="K2" s="5">
        <f>C2/C$2</f>
        <v>1</v>
      </c>
      <c r="L2" s="5">
        <f t="shared" ref="L2:R5" si="0">D2/D$2</f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>
        <f t="shared" si="0"/>
        <v>1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10629.32</v>
      </c>
      <c r="D3" s="20">
        <v>6903.42</v>
      </c>
      <c r="E3" s="20">
        <v>8588.4500000000007</v>
      </c>
      <c r="F3" s="20">
        <v>6154.66</v>
      </c>
      <c r="G3" s="20">
        <v>9621.31</v>
      </c>
      <c r="H3" s="20">
        <v>4380.66</v>
      </c>
      <c r="I3" s="20">
        <v>6898</v>
      </c>
      <c r="J3" s="20">
        <v>7840</v>
      </c>
      <c r="K3" s="5">
        <f>C3/C$2</f>
        <v>7.2174751480254224</v>
      </c>
      <c r="L3" s="5">
        <f t="shared" ref="L3:L5" si="1">D3/D$2</f>
        <v>7.3038151463213357</v>
      </c>
      <c r="M3" s="5">
        <f t="shared" si="0"/>
        <v>7.1657002211004972</v>
      </c>
      <c r="N3" s="5">
        <f t="shared" si="0"/>
        <v>7.6655374268277496</v>
      </c>
      <c r="O3" s="5">
        <f t="shared" si="0"/>
        <v>6.9025877592601894</v>
      </c>
      <c r="P3" s="5">
        <f t="shared" si="0"/>
        <v>4.2339944328462069</v>
      </c>
      <c r="Q3" s="5">
        <f t="shared" si="0"/>
        <v>6.4151329433537621</v>
      </c>
      <c r="R3" s="5">
        <f t="shared" si="0"/>
        <v>7.57487922705314</v>
      </c>
    </row>
    <row r="4" spans="1:18" ht="18" customHeight="1" thickBot="1" x14ac:dyDescent="0.35">
      <c r="A4" s="19">
        <v>2</v>
      </c>
      <c r="B4" s="19">
        <v>16</v>
      </c>
      <c r="C4" s="19">
        <v>17920.400000000001</v>
      </c>
      <c r="D4" s="19">
        <v>12021.09</v>
      </c>
      <c r="E4" s="19">
        <v>14931.03</v>
      </c>
      <c r="F4" s="19">
        <v>11991.94</v>
      </c>
      <c r="G4" s="19">
        <v>16219.03</v>
      </c>
      <c r="H4" s="19">
        <v>6358.43</v>
      </c>
      <c r="I4" s="19">
        <v>9870.15</v>
      </c>
      <c r="J4" s="19">
        <v>14277</v>
      </c>
      <c r="K4" s="5">
        <f>C4/C$2</f>
        <v>12.168232929545331</v>
      </c>
      <c r="L4" s="5">
        <f t="shared" si="1"/>
        <v>12.718307623944646</v>
      </c>
      <c r="M4" s="5">
        <f t="shared" si="0"/>
        <v>12.457577906637187</v>
      </c>
      <c r="N4" s="5">
        <f t="shared" si="0"/>
        <v>14.935782787395691</v>
      </c>
      <c r="O4" s="5">
        <f t="shared" si="0"/>
        <v>11.635970355915546</v>
      </c>
      <c r="P4" s="5">
        <f t="shared" si="0"/>
        <v>6.145548210005412</v>
      </c>
      <c r="Q4" s="5">
        <f t="shared" si="0"/>
        <v>9.1792294028476569</v>
      </c>
      <c r="R4" s="5">
        <f t="shared" si="0"/>
        <v>13.794202898550724</v>
      </c>
    </row>
    <row r="5" spans="1:18" ht="18" customHeight="1" thickBot="1" x14ac:dyDescent="0.35">
      <c r="A5" s="20">
        <v>4</v>
      </c>
      <c r="B5" s="20">
        <v>32</v>
      </c>
      <c r="C5" s="20">
        <v>33141.019999999997</v>
      </c>
      <c r="D5" s="20">
        <v>24734.22</v>
      </c>
      <c r="E5" s="20">
        <v>29171.69</v>
      </c>
      <c r="F5" s="20">
        <v>22551.16</v>
      </c>
      <c r="G5" s="20">
        <v>30713.68</v>
      </c>
      <c r="H5" s="20">
        <v>10633.22</v>
      </c>
      <c r="I5" s="20">
        <v>19314.310000000001</v>
      </c>
      <c r="J5" s="20">
        <v>28594</v>
      </c>
      <c r="K5" s="5">
        <f>C5/C$2</f>
        <v>22.503272855668421</v>
      </c>
      <c r="L5" s="5">
        <f t="shared" si="1"/>
        <v>26.168793245730974</v>
      </c>
      <c r="M5" s="5">
        <f t="shared" si="0"/>
        <v>24.339151474698593</v>
      </c>
      <c r="N5" s="5">
        <f t="shared" si="0"/>
        <v>28.087134138747043</v>
      </c>
      <c r="O5" s="5">
        <f t="shared" si="0"/>
        <v>22.034823907538009</v>
      </c>
      <c r="P5" s="5">
        <f t="shared" si="0"/>
        <v>10.277217196319491</v>
      </c>
      <c r="Q5" s="5">
        <f t="shared" si="0"/>
        <v>17.962288541482607</v>
      </c>
      <c r="R5" s="5">
        <f t="shared" si="0"/>
        <v>27.627053140096617</v>
      </c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42155-0C76-4F33-A949-2F3DA797B92E}">
  <dimension ref="A1:R5"/>
  <sheetViews>
    <sheetView topLeftCell="A25" zoomScale="130" zoomScaleNormal="130" workbookViewId="0">
      <selection activeCell="J39" sqref="J39"/>
    </sheetView>
  </sheetViews>
  <sheetFormatPr defaultColWidth="11.69140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22" t="s">
        <v>33</v>
      </c>
      <c r="H1" s="10" t="s">
        <v>6</v>
      </c>
      <c r="I1" s="10" t="s">
        <v>7</v>
      </c>
      <c r="J1" s="22" t="s">
        <v>32</v>
      </c>
      <c r="K1" s="10" t="s">
        <v>2</v>
      </c>
      <c r="L1" s="21" t="s">
        <v>26</v>
      </c>
      <c r="M1" s="21" t="s">
        <v>30</v>
      </c>
      <c r="N1" s="18" t="s">
        <v>27</v>
      </c>
      <c r="O1" s="22" t="s">
        <v>33</v>
      </c>
      <c r="P1" s="10" t="s">
        <v>6</v>
      </c>
      <c r="Q1" s="10" t="s">
        <v>7</v>
      </c>
      <c r="R1" s="22" t="s">
        <v>32</v>
      </c>
    </row>
    <row r="2" spans="1:18" ht="18" customHeight="1" thickBot="1" x14ac:dyDescent="0.35">
      <c r="A2" s="19">
        <v>1</v>
      </c>
      <c r="B2" s="19">
        <v>1</v>
      </c>
      <c r="C2" s="19">
        <v>152.88999999999999</v>
      </c>
      <c r="D2" s="19">
        <v>112.76</v>
      </c>
      <c r="E2" s="19"/>
      <c r="F2" s="19">
        <v>119.6</v>
      </c>
      <c r="G2" s="19">
        <v>150.11000000000001</v>
      </c>
      <c r="H2" s="19">
        <v>132.63999999999999</v>
      </c>
      <c r="I2" s="19"/>
      <c r="J2" s="19">
        <v>156.25</v>
      </c>
      <c r="K2" s="5">
        <f t="shared" ref="K2:R5" si="0">C2/C$2</f>
        <v>1</v>
      </c>
      <c r="L2" s="5">
        <f t="shared" si="0"/>
        <v>1</v>
      </c>
      <c r="M2" s="5" t="e">
        <f t="shared" si="0"/>
        <v>#DIV/0!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1105.55</v>
      </c>
      <c r="D3" s="20">
        <v>855.45</v>
      </c>
      <c r="E3" s="20"/>
      <c r="F3" s="20">
        <v>921.32</v>
      </c>
      <c r="G3" s="20">
        <v>1058.5999999999999</v>
      </c>
      <c r="H3" s="20">
        <v>615.12</v>
      </c>
      <c r="I3" s="20"/>
      <c r="J3" s="20">
        <v>1234.6500000000001</v>
      </c>
      <c r="K3" s="5">
        <f t="shared" si="0"/>
        <v>7.2310157629668392</v>
      </c>
      <c r="L3" s="5">
        <f t="shared" si="0"/>
        <v>7.5864668322100037</v>
      </c>
      <c r="M3" s="5" t="e">
        <f t="shared" si="0"/>
        <v>#DIV/0!</v>
      </c>
      <c r="N3" s="5">
        <f t="shared" si="0"/>
        <v>7.7033444816053516</v>
      </c>
      <c r="O3" s="5">
        <f t="shared" si="0"/>
        <v>7.0521617480514278</v>
      </c>
      <c r="P3" s="5">
        <f t="shared" si="0"/>
        <v>4.6375150784077208</v>
      </c>
      <c r="Q3" s="5" t="e">
        <f t="shared" si="0"/>
        <v>#DIV/0!</v>
      </c>
      <c r="R3" s="5">
        <f t="shared" si="0"/>
        <v>7.9017600000000003</v>
      </c>
    </row>
    <row r="4" spans="1:18" ht="18" customHeight="1" thickBot="1" x14ac:dyDescent="0.35">
      <c r="A4" s="19">
        <v>2</v>
      </c>
      <c r="B4" s="19">
        <v>16</v>
      </c>
      <c r="C4" s="19">
        <v>2015.78</v>
      </c>
      <c r="D4" s="19">
        <v>1576.88</v>
      </c>
      <c r="E4" s="19"/>
      <c r="F4" s="19">
        <v>1499.4</v>
      </c>
      <c r="G4" s="19">
        <v>1845.65</v>
      </c>
      <c r="H4" s="19">
        <v>1116.02</v>
      </c>
      <c r="I4" s="19"/>
      <c r="J4" s="19">
        <v>2425.9699999999998</v>
      </c>
      <c r="K4" s="5">
        <f t="shared" si="0"/>
        <v>13.184511740467004</v>
      </c>
      <c r="L4" s="5">
        <f t="shared" si="0"/>
        <v>13.984391628236963</v>
      </c>
      <c r="M4" s="5" t="e">
        <f t="shared" si="0"/>
        <v>#DIV/0!</v>
      </c>
      <c r="N4" s="5">
        <f t="shared" si="0"/>
        <v>12.536789297658864</v>
      </c>
      <c r="O4" s="5">
        <f t="shared" si="0"/>
        <v>12.295316767703683</v>
      </c>
      <c r="P4" s="5">
        <f t="shared" si="0"/>
        <v>8.4139022919179745</v>
      </c>
      <c r="Q4" s="5" t="e">
        <f t="shared" si="0"/>
        <v>#DIV/0!</v>
      </c>
      <c r="R4" s="5">
        <f t="shared" si="0"/>
        <v>15.526207999999999</v>
      </c>
    </row>
    <row r="5" spans="1:18" ht="18" customHeight="1" thickBot="1" x14ac:dyDescent="0.35">
      <c r="A5" s="20">
        <v>4</v>
      </c>
      <c r="B5" s="20">
        <v>32</v>
      </c>
      <c r="C5" s="20">
        <v>3689.8</v>
      </c>
      <c r="D5" s="20">
        <v>2727.9</v>
      </c>
      <c r="E5" s="20"/>
      <c r="F5" s="20">
        <v>2885.81</v>
      </c>
      <c r="G5" s="20">
        <v>3671.45</v>
      </c>
      <c r="H5" s="20">
        <v>2073.6</v>
      </c>
      <c r="I5" s="20"/>
      <c r="J5" s="20">
        <v>4799.6400000000003</v>
      </c>
      <c r="K5" s="5">
        <f t="shared" si="0"/>
        <v>24.133690888874359</v>
      </c>
      <c r="L5" s="5">
        <f t="shared" si="0"/>
        <v>24.192089393401915</v>
      </c>
      <c r="M5" s="5" t="e">
        <f t="shared" si="0"/>
        <v>#DIV/0!</v>
      </c>
      <c r="N5" s="5">
        <f t="shared" si="0"/>
        <v>24.128846153846155</v>
      </c>
      <c r="O5" s="5">
        <f t="shared" si="0"/>
        <v>24.458397175404698</v>
      </c>
      <c r="P5" s="5">
        <f t="shared" si="0"/>
        <v>15.63329312424608</v>
      </c>
      <c r="Q5" s="5" t="e">
        <f t="shared" si="0"/>
        <v>#DIV/0!</v>
      </c>
      <c r="R5" s="5">
        <f t="shared" si="0"/>
        <v>30.717696000000004</v>
      </c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D1F-5FF8-4377-B6E7-E385668F1DAE}">
  <dimension ref="A1:R5"/>
  <sheetViews>
    <sheetView topLeftCell="A25" zoomScale="130" zoomScaleNormal="130" workbookViewId="0">
      <selection activeCell="J10" sqref="J10"/>
    </sheetView>
  </sheetViews>
  <sheetFormatPr defaultColWidth="11.69140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23" t="s">
        <v>34</v>
      </c>
      <c r="D1" s="23" t="s">
        <v>35</v>
      </c>
      <c r="E1" s="21" t="s">
        <v>30</v>
      </c>
      <c r="F1" s="23" t="s">
        <v>36</v>
      </c>
      <c r="G1" s="23" t="s">
        <v>37</v>
      </c>
      <c r="H1" s="23" t="s">
        <v>38</v>
      </c>
      <c r="I1" s="10" t="s">
        <v>7</v>
      </c>
      <c r="J1" s="22" t="s">
        <v>32</v>
      </c>
      <c r="K1" s="23" t="s">
        <v>34</v>
      </c>
      <c r="L1" s="23" t="s">
        <v>35</v>
      </c>
      <c r="M1" s="21" t="s">
        <v>30</v>
      </c>
      <c r="N1" s="23" t="s">
        <v>36</v>
      </c>
      <c r="O1" s="23" t="s">
        <v>37</v>
      </c>
      <c r="P1" s="23" t="s">
        <v>38</v>
      </c>
      <c r="Q1" s="10" t="s">
        <v>7</v>
      </c>
      <c r="R1" s="22" t="s">
        <v>32</v>
      </c>
    </row>
    <row r="2" spans="1:18" ht="18" customHeight="1" thickBot="1" x14ac:dyDescent="0.35">
      <c r="A2" s="19">
        <v>1</v>
      </c>
      <c r="B2" s="19">
        <v>1</v>
      </c>
      <c r="C2" s="19">
        <v>156.02000000000001</v>
      </c>
      <c r="D2" s="19">
        <v>107.33</v>
      </c>
      <c r="E2" s="19"/>
      <c r="F2" s="19">
        <v>121.94</v>
      </c>
      <c r="G2" s="19">
        <v>156.76</v>
      </c>
      <c r="H2" s="19">
        <v>136.97</v>
      </c>
      <c r="I2" s="19"/>
      <c r="J2" s="19">
        <v>156.25</v>
      </c>
      <c r="K2" s="5">
        <f t="shared" ref="K2:R5" si="0">C2/C$2</f>
        <v>1</v>
      </c>
      <c r="L2" s="5">
        <f t="shared" si="0"/>
        <v>1</v>
      </c>
      <c r="M2" s="5" t="e">
        <f t="shared" si="0"/>
        <v>#DIV/0!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1201.7</v>
      </c>
      <c r="D3" s="20">
        <v>790.03</v>
      </c>
      <c r="E3" s="20"/>
      <c r="F3" s="20">
        <v>928.01</v>
      </c>
      <c r="G3" s="20">
        <v>1153.08</v>
      </c>
      <c r="H3" s="20">
        <v>868.6</v>
      </c>
      <c r="I3" s="20"/>
      <c r="J3" s="20">
        <v>1234.6500000000001</v>
      </c>
      <c r="K3" s="5">
        <f t="shared" si="0"/>
        <v>7.7022176644019993</v>
      </c>
      <c r="L3" s="5">
        <f t="shared" si="0"/>
        <v>7.3607565452343238</v>
      </c>
      <c r="M3" s="5" t="e">
        <f t="shared" si="0"/>
        <v>#DIV/0!</v>
      </c>
      <c r="N3" s="5">
        <f t="shared" si="0"/>
        <v>7.6103821551582742</v>
      </c>
      <c r="O3" s="5">
        <f t="shared" si="0"/>
        <v>7.3557029854554736</v>
      </c>
      <c r="P3" s="5">
        <f t="shared" si="0"/>
        <v>6.3415346426224719</v>
      </c>
      <c r="Q3" s="5" t="e">
        <f t="shared" si="0"/>
        <v>#DIV/0!</v>
      </c>
      <c r="R3" s="5">
        <f t="shared" si="0"/>
        <v>7.9017600000000003</v>
      </c>
    </row>
    <row r="4" spans="1:18" ht="18" customHeight="1" thickBot="1" x14ac:dyDescent="0.35">
      <c r="A4" s="19">
        <v>2</v>
      </c>
      <c r="B4" s="19">
        <v>16</v>
      </c>
      <c r="C4" s="19">
        <v>2352.92</v>
      </c>
      <c r="D4" s="19">
        <v>1404.04</v>
      </c>
      <c r="E4" s="19"/>
      <c r="F4" s="19">
        <v>1584.32</v>
      </c>
      <c r="G4" s="19">
        <v>2172.62</v>
      </c>
      <c r="H4" s="19">
        <v>1631.36</v>
      </c>
      <c r="I4" s="19"/>
      <c r="J4" s="19">
        <v>2425.9699999999998</v>
      </c>
      <c r="K4" s="5">
        <f t="shared" si="0"/>
        <v>15.0808870657608</v>
      </c>
      <c r="L4" s="5">
        <f t="shared" si="0"/>
        <v>13.081524270940092</v>
      </c>
      <c r="M4" s="5" t="e">
        <f t="shared" si="0"/>
        <v>#DIV/0!</v>
      </c>
      <c r="N4" s="5">
        <f t="shared" si="0"/>
        <v>12.99261932097753</v>
      </c>
      <c r="O4" s="5">
        <f t="shared" si="0"/>
        <v>13.859530492472569</v>
      </c>
      <c r="P4" s="5">
        <f t="shared" si="0"/>
        <v>11.910345331094399</v>
      </c>
      <c r="Q4" s="5" t="e">
        <f t="shared" si="0"/>
        <v>#DIV/0!</v>
      </c>
      <c r="R4" s="5">
        <f t="shared" si="0"/>
        <v>15.526207999999999</v>
      </c>
    </row>
    <row r="5" spans="1:18" ht="18" customHeight="1" thickBot="1" x14ac:dyDescent="0.35">
      <c r="A5" s="20">
        <v>4</v>
      </c>
      <c r="B5" s="20">
        <v>32</v>
      </c>
      <c r="C5" s="20">
        <v>4664.1000000000004</v>
      </c>
      <c r="D5" s="20">
        <v>3089.74</v>
      </c>
      <c r="E5" s="20"/>
      <c r="F5" s="20">
        <v>3039.3</v>
      </c>
      <c r="G5" s="20">
        <v>4340.8900000000003</v>
      </c>
      <c r="H5" s="20">
        <v>3167.68</v>
      </c>
      <c r="I5" s="20"/>
      <c r="J5" s="20">
        <v>4799.6400000000003</v>
      </c>
      <c r="K5" s="5">
        <f t="shared" si="0"/>
        <v>29.894244327650302</v>
      </c>
      <c r="L5" s="5">
        <f t="shared" si="0"/>
        <v>28.787291530792881</v>
      </c>
      <c r="M5" s="5" t="e">
        <f t="shared" si="0"/>
        <v>#DIV/0!</v>
      </c>
      <c r="N5" s="5">
        <f t="shared" si="0"/>
        <v>24.924553058881418</v>
      </c>
      <c r="O5" s="5">
        <f t="shared" si="0"/>
        <v>27.691311559071195</v>
      </c>
      <c r="P5" s="5">
        <f t="shared" si="0"/>
        <v>23.12681609111484</v>
      </c>
      <c r="Q5" s="5" t="e">
        <f t="shared" si="0"/>
        <v>#DIV/0!</v>
      </c>
      <c r="R5" s="5">
        <f t="shared" si="0"/>
        <v>30.717696000000004</v>
      </c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2568-7A67-477F-AF36-80DF10BC7C29}">
  <dimension ref="A1:R11"/>
  <sheetViews>
    <sheetView topLeftCell="A31" zoomScale="130" zoomScaleNormal="130" workbookViewId="0">
      <selection activeCell="K37" sqref="K37"/>
    </sheetView>
  </sheetViews>
  <sheetFormatPr defaultColWidth="11.69140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22" t="s">
        <v>33</v>
      </c>
      <c r="H1" s="10" t="s">
        <v>6</v>
      </c>
      <c r="I1" s="10" t="s">
        <v>7</v>
      </c>
      <c r="J1" s="22" t="s">
        <v>32</v>
      </c>
      <c r="K1" s="10" t="s">
        <v>2</v>
      </c>
      <c r="L1" s="21" t="s">
        <v>26</v>
      </c>
      <c r="M1" s="21" t="s">
        <v>30</v>
      </c>
      <c r="N1" s="18" t="s">
        <v>27</v>
      </c>
      <c r="O1" s="22" t="s">
        <v>33</v>
      </c>
      <c r="P1" s="10" t="s">
        <v>6</v>
      </c>
      <c r="Q1" s="10" t="s">
        <v>7</v>
      </c>
      <c r="R1" s="22" t="s">
        <v>32</v>
      </c>
    </row>
    <row r="2" spans="1:18" ht="18" customHeight="1" thickBot="1" x14ac:dyDescent="0.35">
      <c r="A2" s="19">
        <v>1</v>
      </c>
      <c r="B2" s="19">
        <v>1</v>
      </c>
      <c r="C2" s="19">
        <v>534.72</v>
      </c>
      <c r="D2" s="19">
        <v>183.25</v>
      </c>
      <c r="E2" s="19">
        <v>422.53</v>
      </c>
      <c r="F2" s="19">
        <v>444.51</v>
      </c>
      <c r="G2" s="19">
        <v>473.76</v>
      </c>
      <c r="H2" s="19">
        <v>289.23</v>
      </c>
      <c r="I2" s="19"/>
      <c r="J2" s="19">
        <v>552.48</v>
      </c>
      <c r="K2" s="5">
        <f t="shared" ref="K2:R5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3399.43</v>
      </c>
      <c r="D3" s="20">
        <v>1452.59</v>
      </c>
      <c r="E3" s="20">
        <v>3112.73</v>
      </c>
      <c r="F3" s="20">
        <v>3251.7</v>
      </c>
      <c r="G3" s="20">
        <v>3107.1</v>
      </c>
      <c r="H3" s="20">
        <v>1298.96</v>
      </c>
      <c r="I3" s="20"/>
      <c r="J3" s="20">
        <v>3897.19</v>
      </c>
      <c r="K3" s="5">
        <f t="shared" si="0"/>
        <v>6.3574020047875521</v>
      </c>
      <c r="L3" s="5">
        <f t="shared" si="0"/>
        <v>7.9268212824010913</v>
      </c>
      <c r="M3" s="5">
        <f t="shared" si="0"/>
        <v>7.3668851915840303</v>
      </c>
      <c r="N3" s="5">
        <f t="shared" si="0"/>
        <v>7.3152460012148204</v>
      </c>
      <c r="O3" s="5">
        <f t="shared" si="0"/>
        <v>6.5583839918946305</v>
      </c>
      <c r="P3" s="5">
        <f t="shared" si="0"/>
        <v>4.491097050790029</v>
      </c>
      <c r="Q3" s="5" t="e">
        <f t="shared" si="0"/>
        <v>#DIV/0!</v>
      </c>
      <c r="R3" s="5">
        <f t="shared" si="0"/>
        <v>7.0539929047205323</v>
      </c>
    </row>
    <row r="4" spans="1:18" ht="18" customHeight="1" thickBot="1" x14ac:dyDescent="0.35">
      <c r="A4" s="19">
        <v>2</v>
      </c>
      <c r="B4" s="19">
        <v>16</v>
      </c>
      <c r="C4" s="19">
        <v>5745.56</v>
      </c>
      <c r="D4" s="19">
        <v>2653.74</v>
      </c>
      <c r="E4" s="19">
        <v>5050.8599999999997</v>
      </c>
      <c r="F4" s="19">
        <v>4936.92</v>
      </c>
      <c r="G4" s="19">
        <v>5723.26</v>
      </c>
      <c r="H4" s="19">
        <v>1999.38</v>
      </c>
      <c r="I4" s="19"/>
      <c r="J4" s="19">
        <v>6669.93</v>
      </c>
      <c r="K4" s="5">
        <f t="shared" si="0"/>
        <v>10.744988031119091</v>
      </c>
      <c r="L4" s="5">
        <f t="shared" si="0"/>
        <v>14.481527967257843</v>
      </c>
      <c r="M4" s="5">
        <f t="shared" si="0"/>
        <v>11.953849430809647</v>
      </c>
      <c r="N4" s="5">
        <f t="shared" si="0"/>
        <v>11.106431801309308</v>
      </c>
      <c r="O4" s="5">
        <f t="shared" si="0"/>
        <v>12.08050489699426</v>
      </c>
      <c r="P4" s="5">
        <f t="shared" si="0"/>
        <v>6.912768385022301</v>
      </c>
      <c r="Q4" s="5" t="e">
        <f t="shared" si="0"/>
        <v>#DIV/0!</v>
      </c>
      <c r="R4" s="5">
        <f t="shared" si="0"/>
        <v>12.072708514335361</v>
      </c>
    </row>
    <row r="5" spans="1:18" ht="18" customHeight="1" thickBot="1" x14ac:dyDescent="0.35">
      <c r="A5" s="20">
        <v>4</v>
      </c>
      <c r="B5" s="20">
        <v>32</v>
      </c>
      <c r="C5" s="20">
        <v>9911.7800000000007</v>
      </c>
      <c r="D5" s="20">
        <v>5189.07</v>
      </c>
      <c r="E5" s="20">
        <v>9409.2000000000007</v>
      </c>
      <c r="F5" s="20">
        <v>9331.7199999999993</v>
      </c>
      <c r="G5" s="20">
        <v>11269.14</v>
      </c>
      <c r="H5" s="20">
        <v>3406.36</v>
      </c>
      <c r="I5" s="20"/>
      <c r="J5" s="20">
        <v>11195.72</v>
      </c>
      <c r="K5" s="5">
        <f t="shared" si="0"/>
        <v>18.536392878515858</v>
      </c>
      <c r="L5" s="5">
        <f t="shared" si="0"/>
        <v>28.316889495225102</v>
      </c>
      <c r="M5" s="5">
        <f t="shared" si="0"/>
        <v>22.268714647480657</v>
      </c>
      <c r="N5" s="5">
        <f t="shared" si="0"/>
        <v>20.993273492159904</v>
      </c>
      <c r="O5" s="5">
        <f t="shared" si="0"/>
        <v>23.786600810536981</v>
      </c>
      <c r="P5" s="5">
        <f t="shared" si="0"/>
        <v>11.77733983335062</v>
      </c>
      <c r="Q5" s="5" t="e">
        <f t="shared" si="0"/>
        <v>#DIV/0!</v>
      </c>
      <c r="R5" s="5">
        <f t="shared" si="0"/>
        <v>20.264480162177815</v>
      </c>
    </row>
    <row r="6" spans="1:18" ht="18" customHeight="1" thickBot="1" x14ac:dyDescent="0.4"/>
    <row r="7" spans="1:18" ht="18" customHeight="1" thickBot="1" x14ac:dyDescent="0.4">
      <c r="B7" s="24"/>
      <c r="C7" s="24"/>
      <c r="D7" s="25"/>
      <c r="E7" s="25"/>
      <c r="F7" s="25"/>
      <c r="G7" s="25"/>
      <c r="H7" s="25"/>
      <c r="I7" s="25"/>
      <c r="J7" s="25"/>
    </row>
    <row r="8" spans="1:18" ht="18" customHeight="1" thickBot="1" x14ac:dyDescent="0.4">
      <c r="B8" s="26"/>
      <c r="C8" s="26"/>
      <c r="D8" s="26"/>
      <c r="E8" s="26"/>
      <c r="F8" s="26"/>
      <c r="G8" s="26"/>
      <c r="H8" s="26"/>
      <c r="I8" s="26"/>
      <c r="J8" s="26"/>
    </row>
    <row r="9" spans="1:18" ht="18" customHeight="1" thickBot="1" x14ac:dyDescent="0.4">
      <c r="B9" s="27"/>
      <c r="C9" s="27"/>
      <c r="D9" s="27"/>
      <c r="E9" s="27"/>
      <c r="F9" s="27"/>
      <c r="G9" s="27"/>
      <c r="H9" s="27"/>
      <c r="I9" s="27"/>
      <c r="J9" s="27"/>
    </row>
    <row r="10" spans="1:18" ht="18" customHeight="1" thickBot="1" x14ac:dyDescent="0.4">
      <c r="B10" s="26"/>
      <c r="C10" s="26"/>
      <c r="D10" s="26"/>
      <c r="E10" s="26"/>
      <c r="F10" s="26"/>
      <c r="G10" s="26"/>
      <c r="H10" s="26"/>
      <c r="I10" s="26"/>
      <c r="J10" s="26"/>
    </row>
    <row r="11" spans="1:18" ht="18" customHeight="1" thickBot="1" x14ac:dyDescent="0.4">
      <c r="B11" s="27"/>
      <c r="C11" s="27"/>
      <c r="D11" s="27"/>
      <c r="E11" s="27"/>
      <c r="F11" s="27"/>
      <c r="G11" s="27"/>
      <c r="H11" s="27"/>
      <c r="I11" s="27"/>
      <c r="J11" s="27"/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DB0C5-FDEF-463D-8D2E-84958C3B7FD5}">
  <dimension ref="A1:R11"/>
  <sheetViews>
    <sheetView topLeftCell="A28" zoomScale="130" zoomScaleNormal="130" workbookViewId="0">
      <selection activeCell="I27" sqref="I27"/>
    </sheetView>
  </sheetViews>
  <sheetFormatPr defaultColWidth="11.69140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23" t="s">
        <v>39</v>
      </c>
      <c r="D1" s="23" t="s">
        <v>40</v>
      </c>
      <c r="E1" s="23" t="s">
        <v>46</v>
      </c>
      <c r="F1" s="23" t="s">
        <v>42</v>
      </c>
      <c r="G1" s="23" t="s">
        <v>43</v>
      </c>
      <c r="H1" s="23" t="s">
        <v>44</v>
      </c>
      <c r="I1" s="10" t="s">
        <v>7</v>
      </c>
      <c r="J1" s="23" t="s">
        <v>45</v>
      </c>
      <c r="K1" s="23" t="s">
        <v>39</v>
      </c>
      <c r="L1" s="23" t="s">
        <v>40</v>
      </c>
      <c r="M1" s="23" t="s">
        <v>41</v>
      </c>
      <c r="N1" s="23" t="s">
        <v>42</v>
      </c>
      <c r="O1" s="23" t="s">
        <v>43</v>
      </c>
      <c r="P1" s="23" t="s">
        <v>44</v>
      </c>
      <c r="Q1" s="10" t="s">
        <v>7</v>
      </c>
      <c r="R1" s="23" t="s">
        <v>45</v>
      </c>
    </row>
    <row r="2" spans="1:18" ht="18" customHeight="1" thickBot="1" x14ac:dyDescent="0.35">
      <c r="A2" s="19">
        <v>1</v>
      </c>
      <c r="B2" s="19">
        <v>1</v>
      </c>
      <c r="C2" s="19">
        <v>605.11</v>
      </c>
      <c r="D2" s="19">
        <v>183.25</v>
      </c>
      <c r="E2" s="19">
        <v>468.1</v>
      </c>
      <c r="F2" s="19">
        <v>462.35</v>
      </c>
      <c r="G2" s="19">
        <v>544.30999999999995</v>
      </c>
      <c r="H2" s="19">
        <v>309.68</v>
      </c>
      <c r="I2" s="19"/>
      <c r="J2" s="19">
        <v>613.92999999999995</v>
      </c>
      <c r="K2" s="5">
        <f t="shared" ref="K2:R5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4381.66</v>
      </c>
      <c r="D3" s="20">
        <v>1452.59</v>
      </c>
      <c r="E3" s="20">
        <v>3559.8</v>
      </c>
      <c r="F3" s="20">
        <v>3287.12</v>
      </c>
      <c r="G3" s="20">
        <v>3825.21</v>
      </c>
      <c r="H3" s="20">
        <v>1666.54</v>
      </c>
      <c r="I3" s="20"/>
      <c r="J3" s="20">
        <v>4683.3599999999997</v>
      </c>
      <c r="K3" s="5">
        <f t="shared" si="0"/>
        <v>7.241096660111384</v>
      </c>
      <c r="L3" s="5">
        <f t="shared" si="0"/>
        <v>7.9268212824010913</v>
      </c>
      <c r="M3" s="5">
        <f t="shared" si="0"/>
        <v>7.604785302285836</v>
      </c>
      <c r="N3" s="5">
        <f t="shared" si="0"/>
        <v>7.1095923002054713</v>
      </c>
      <c r="O3" s="5">
        <f t="shared" si="0"/>
        <v>7.0276313130385262</v>
      </c>
      <c r="P3" s="5">
        <f t="shared" si="0"/>
        <v>5.3814905709119092</v>
      </c>
      <c r="Q3" s="5" t="e">
        <f t="shared" si="0"/>
        <v>#DIV/0!</v>
      </c>
      <c r="R3" s="5">
        <f t="shared" si="0"/>
        <v>7.6284918476047761</v>
      </c>
    </row>
    <row r="4" spans="1:18" ht="18" customHeight="1" thickBot="1" x14ac:dyDescent="0.35">
      <c r="A4" s="19">
        <v>2</v>
      </c>
      <c r="B4" s="19">
        <v>16</v>
      </c>
      <c r="C4" s="19">
        <v>8075.16</v>
      </c>
      <c r="D4" s="19">
        <v>2653.74</v>
      </c>
      <c r="E4" s="19">
        <v>5960.14</v>
      </c>
      <c r="F4" s="19">
        <v>5426.07</v>
      </c>
      <c r="G4" s="19">
        <v>7327.5</v>
      </c>
      <c r="H4" s="19">
        <v>2969.85</v>
      </c>
      <c r="I4" s="19"/>
      <c r="J4" s="19">
        <v>8777.57</v>
      </c>
      <c r="K4" s="5">
        <f t="shared" si="0"/>
        <v>13.34494554709061</v>
      </c>
      <c r="L4" s="5">
        <f t="shared" si="0"/>
        <v>14.481527967257843</v>
      </c>
      <c r="M4" s="5">
        <f t="shared" si="0"/>
        <v>12.732621234778893</v>
      </c>
      <c r="N4" s="5">
        <f t="shared" si="0"/>
        <v>11.735849464691251</v>
      </c>
      <c r="O4" s="5">
        <f t="shared" si="0"/>
        <v>13.461997758630194</v>
      </c>
      <c r="P4" s="5">
        <f t="shared" si="0"/>
        <v>9.5900607078274351</v>
      </c>
      <c r="Q4" s="5" t="e">
        <f t="shared" si="0"/>
        <v>#DIV/0!</v>
      </c>
      <c r="R4" s="5">
        <f t="shared" si="0"/>
        <v>14.297346603032921</v>
      </c>
    </row>
    <row r="5" spans="1:18" ht="18" customHeight="1" thickBot="1" x14ac:dyDescent="0.35">
      <c r="A5" s="20">
        <v>4</v>
      </c>
      <c r="B5" s="20">
        <v>32</v>
      </c>
      <c r="C5" s="20">
        <v>15724.7</v>
      </c>
      <c r="D5" s="20">
        <v>5189.07</v>
      </c>
      <c r="E5" s="20">
        <v>11650</v>
      </c>
      <c r="F5" s="20">
        <v>10349.120000000001</v>
      </c>
      <c r="G5" s="20">
        <v>14822.31</v>
      </c>
      <c r="H5" s="20">
        <v>5452.35</v>
      </c>
      <c r="I5" s="20"/>
      <c r="J5" s="20">
        <v>17210.63</v>
      </c>
      <c r="K5" s="5">
        <f t="shared" si="0"/>
        <v>25.986514848539937</v>
      </c>
      <c r="L5" s="5">
        <f t="shared" si="0"/>
        <v>28.316889495225102</v>
      </c>
      <c r="M5" s="5">
        <f t="shared" si="0"/>
        <v>24.88784447767571</v>
      </c>
      <c r="N5" s="5">
        <f t="shared" si="0"/>
        <v>22.383735265491513</v>
      </c>
      <c r="O5" s="5">
        <f t="shared" si="0"/>
        <v>27.231375502930316</v>
      </c>
      <c r="P5" s="5">
        <f t="shared" si="0"/>
        <v>17.60640015499871</v>
      </c>
      <c r="Q5" s="5" t="e">
        <f t="shared" si="0"/>
        <v>#DIV/0!</v>
      </c>
      <c r="R5" s="5">
        <f t="shared" si="0"/>
        <v>28.033538025507799</v>
      </c>
    </row>
    <row r="6" spans="1:18" ht="18" customHeight="1" thickBot="1" x14ac:dyDescent="0.4"/>
    <row r="7" spans="1:18" ht="18" customHeight="1" thickBot="1" x14ac:dyDescent="0.4">
      <c r="A7" s="24"/>
      <c r="B7" s="24"/>
      <c r="C7" s="25"/>
      <c r="D7" s="25"/>
      <c r="E7" s="25"/>
      <c r="F7" s="25"/>
      <c r="G7" s="25"/>
      <c r="H7" s="25"/>
      <c r="I7" s="25"/>
    </row>
    <row r="8" spans="1:18" ht="18" customHeight="1" thickBot="1" x14ac:dyDescent="0.4">
      <c r="A8" s="26"/>
      <c r="B8" s="26"/>
      <c r="C8" s="26"/>
      <c r="D8" s="26"/>
      <c r="E8" s="26"/>
      <c r="F8" s="26"/>
      <c r="G8" s="26"/>
      <c r="H8" s="26"/>
      <c r="I8" s="26"/>
    </row>
    <row r="9" spans="1:18" ht="18" customHeight="1" thickBot="1" x14ac:dyDescent="0.4">
      <c r="A9" s="27"/>
      <c r="B9" s="27"/>
      <c r="C9" s="27"/>
      <c r="D9" s="27"/>
      <c r="E9" s="27"/>
      <c r="F9" s="27"/>
      <c r="G9" s="27"/>
      <c r="H9" s="27"/>
      <c r="I9" s="27"/>
    </row>
    <row r="10" spans="1:18" ht="18" customHeight="1" thickBot="1" x14ac:dyDescent="0.4">
      <c r="A10" s="26"/>
      <c r="B10" s="26"/>
      <c r="C10" s="26"/>
      <c r="D10" s="26"/>
      <c r="E10" s="26"/>
      <c r="F10" s="26"/>
      <c r="G10" s="26"/>
      <c r="H10" s="26"/>
      <c r="I10" s="26"/>
    </row>
    <row r="11" spans="1:18" ht="18" customHeight="1" thickBot="1" x14ac:dyDescent="0.4">
      <c r="A11" s="27"/>
      <c r="B11" s="27"/>
      <c r="C11" s="27"/>
      <c r="D11" s="27"/>
      <c r="E11" s="27"/>
      <c r="F11" s="27"/>
      <c r="G11" s="27"/>
      <c r="H11" s="27"/>
      <c r="I11" s="27"/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9BCB3-A604-9044-8F6F-3D7821D5E888}">
  <sheetPr codeName="Sheet3"/>
  <dimension ref="A1:M7"/>
  <sheetViews>
    <sheetView topLeftCell="A19" zoomScale="130" zoomScaleNormal="130" workbookViewId="0">
      <selection activeCell="K25" sqref="K25"/>
    </sheetView>
  </sheetViews>
  <sheetFormatPr defaultColWidth="11.07421875" defaultRowHeight="15.5" x14ac:dyDescent="0.35"/>
  <cols>
    <col min="1" max="1" width="8.61328125" bestFit="1" customWidth="1"/>
    <col min="2" max="2" width="9.4609375" bestFit="1" customWidth="1"/>
    <col min="3" max="3" width="8.23046875" bestFit="1" customWidth="1"/>
    <col min="4" max="4" width="11.921875" bestFit="1" customWidth="1"/>
    <col min="5" max="5" width="6.15234375" bestFit="1" customWidth="1"/>
    <col min="6" max="6" width="6.84375" bestFit="1" customWidth="1"/>
    <col min="7" max="7" width="11.15234375" bestFit="1" customWidth="1"/>
    <col min="8" max="8" width="7.4609375" bestFit="1" customWidth="1"/>
    <col min="9" max="9" width="11.921875" bestFit="1" customWidth="1"/>
    <col min="10" max="11" width="7.3828125" bestFit="1" customWidth="1"/>
    <col min="12" max="12" width="11.15234375" bestFit="1" customWidth="1"/>
  </cols>
  <sheetData>
    <row r="1" spans="1:13" s="7" customFormat="1" ht="14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145.21</v>
      </c>
      <c r="D2">
        <v>106.8</v>
      </c>
      <c r="E2">
        <v>150.11000000000001</v>
      </c>
      <c r="F2">
        <v>119.61</v>
      </c>
      <c r="G2">
        <v>132.63999999999999</v>
      </c>
      <c r="H2" s="5">
        <f t="shared" ref="H2:L5" si="0">C2/C$2</f>
        <v>1</v>
      </c>
      <c r="I2" s="5">
        <f t="shared" si="0"/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1042.98</v>
      </c>
      <c r="D3">
        <v>806.56</v>
      </c>
      <c r="E3">
        <v>1058.5999999999999</v>
      </c>
      <c r="F3">
        <v>908.85</v>
      </c>
      <c r="G3">
        <v>615.12</v>
      </c>
      <c r="H3" s="5">
        <f t="shared" si="0"/>
        <v>7.1825631843536941</v>
      </c>
      <c r="I3" s="5">
        <f t="shared" si="0"/>
        <v>7.5520599250936327</v>
      </c>
      <c r="J3" s="5">
        <f t="shared" si="0"/>
        <v>7.0521617480514278</v>
      </c>
      <c r="K3" s="5">
        <f t="shared" si="0"/>
        <v>7.5984449460747427</v>
      </c>
      <c r="L3" s="5">
        <f t="shared" si="0"/>
        <v>4.6375150784077208</v>
      </c>
      <c r="M3" s="2"/>
    </row>
    <row r="4" spans="1:13" s="1" customFormat="1" x14ac:dyDescent="0.3">
      <c r="A4" s="1">
        <v>2</v>
      </c>
      <c r="B4" s="1">
        <v>16</v>
      </c>
      <c r="C4">
        <v>1890.26</v>
      </c>
      <c r="D4">
        <v>1090.2</v>
      </c>
      <c r="E4">
        <v>1845.65</v>
      </c>
      <c r="F4" t="s">
        <v>13</v>
      </c>
      <c r="G4">
        <v>1116.02</v>
      </c>
      <c r="H4" s="5">
        <f t="shared" si="0"/>
        <v>13.017423042490186</v>
      </c>
      <c r="I4" s="5">
        <f t="shared" si="0"/>
        <v>10.207865168539326</v>
      </c>
      <c r="J4" s="5">
        <f t="shared" si="0"/>
        <v>12.295316767703683</v>
      </c>
      <c r="K4" s="5" t="e">
        <f t="shared" si="0"/>
        <v>#VALUE!</v>
      </c>
      <c r="L4" s="5">
        <f t="shared" si="0"/>
        <v>8.4139022919179745</v>
      </c>
      <c r="M4" s="2"/>
    </row>
    <row r="5" spans="1:13" s="1" customFormat="1" x14ac:dyDescent="0.3">
      <c r="A5" s="1">
        <v>4</v>
      </c>
      <c r="B5" s="1">
        <v>32</v>
      </c>
      <c r="C5">
        <v>3715.08</v>
      </c>
      <c r="D5">
        <v>1923.68</v>
      </c>
      <c r="E5">
        <v>3671.45</v>
      </c>
      <c r="F5" t="s">
        <v>13</v>
      </c>
      <c r="G5">
        <v>2073.6</v>
      </c>
      <c r="H5" s="5">
        <f t="shared" si="0"/>
        <v>25.584188416775703</v>
      </c>
      <c r="I5" s="5">
        <f t="shared" si="0"/>
        <v>18.011985018726591</v>
      </c>
      <c r="J5" s="5">
        <f t="shared" si="0"/>
        <v>24.458397175404698</v>
      </c>
      <c r="K5" s="5" t="e">
        <f t="shared" si="0"/>
        <v>#VALUE!</v>
      </c>
      <c r="L5" s="5">
        <f t="shared" si="0"/>
        <v>15.63329312424608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FD298-BA31-EE48-B784-3DFE67CB60EA}">
  <sheetPr codeName="Sheet4"/>
  <dimension ref="A1:M7"/>
  <sheetViews>
    <sheetView topLeftCell="A7" workbookViewId="0">
      <selection activeCell="K29" sqref="K29"/>
    </sheetView>
  </sheetViews>
  <sheetFormatPr defaultColWidth="11.07421875" defaultRowHeight="15.5" x14ac:dyDescent="0.35"/>
  <sheetData>
    <row r="1" spans="1:13" s="7" customFormat="1" ht="26.5" customHeight="1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149.81</v>
      </c>
      <c r="D2" s="8" t="s">
        <v>8</v>
      </c>
      <c r="E2" s="6">
        <v>156.76</v>
      </c>
      <c r="F2" s="6" t="s">
        <v>8</v>
      </c>
      <c r="G2">
        <v>137.27000000000001</v>
      </c>
      <c r="H2" s="5">
        <f t="shared" ref="H2:L5" si="0">C2/C$2</f>
        <v>1</v>
      </c>
      <c r="I2" s="5" t="e">
        <f t="shared" si="0"/>
        <v>#VALUE!</v>
      </c>
      <c r="J2" s="5">
        <f t="shared" si="0"/>
        <v>1</v>
      </c>
      <c r="K2" s="5" t="e">
        <f t="shared" si="0"/>
        <v>#VALUE!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1138.8900000000001</v>
      </c>
      <c r="D3" s="9" t="s">
        <v>8</v>
      </c>
      <c r="E3" s="6">
        <v>1153.08</v>
      </c>
      <c r="F3" s="6" t="s">
        <v>8</v>
      </c>
      <c r="G3">
        <v>761.22</v>
      </c>
      <c r="H3" s="5">
        <f t="shared" si="0"/>
        <v>7.602229490688206</v>
      </c>
      <c r="I3" s="5" t="e">
        <f t="shared" si="0"/>
        <v>#VALUE!</v>
      </c>
      <c r="J3" s="5">
        <f t="shared" si="0"/>
        <v>7.3557029854554736</v>
      </c>
      <c r="K3" s="5" t="e">
        <f t="shared" si="0"/>
        <v>#VALUE!</v>
      </c>
      <c r="L3" s="5">
        <f t="shared" si="0"/>
        <v>5.5454214322138844</v>
      </c>
      <c r="M3" s="2"/>
    </row>
    <row r="4" spans="1:13" s="1" customFormat="1" x14ac:dyDescent="0.3">
      <c r="A4" s="1">
        <v>2</v>
      </c>
      <c r="B4" s="1">
        <v>16</v>
      </c>
      <c r="C4">
        <v>2189.3000000000002</v>
      </c>
      <c r="D4" s="9" t="s">
        <v>8</v>
      </c>
      <c r="E4" s="6">
        <v>2172.62</v>
      </c>
      <c r="F4" s="6" t="s">
        <v>8</v>
      </c>
      <c r="G4">
        <v>1426.52</v>
      </c>
      <c r="H4" s="5">
        <f t="shared" si="0"/>
        <v>14.613844202656699</v>
      </c>
      <c r="I4" s="5" t="e">
        <f t="shared" si="0"/>
        <v>#VALUE!</v>
      </c>
      <c r="J4" s="5">
        <f t="shared" si="0"/>
        <v>13.859530492472569</v>
      </c>
      <c r="K4" s="5" t="e">
        <f t="shared" si="0"/>
        <v>#VALUE!</v>
      </c>
      <c r="L4" s="5">
        <f t="shared" si="0"/>
        <v>10.392074014715524</v>
      </c>
      <c r="M4" s="2"/>
    </row>
    <row r="5" spans="1:13" s="1" customFormat="1" x14ac:dyDescent="0.3">
      <c r="A5" s="1">
        <v>4</v>
      </c>
      <c r="B5" s="1">
        <v>32</v>
      </c>
      <c r="C5">
        <v>4310.42</v>
      </c>
      <c r="D5" s="9" t="s">
        <v>8</v>
      </c>
      <c r="E5" s="6">
        <v>4340.8900000000003</v>
      </c>
      <c r="F5" s="6" t="s">
        <v>8</v>
      </c>
      <c r="G5">
        <v>2736.78</v>
      </c>
      <c r="H5" s="5">
        <f t="shared" si="0"/>
        <v>28.772578599559441</v>
      </c>
      <c r="I5" s="5" t="e">
        <f t="shared" si="0"/>
        <v>#VALUE!</v>
      </c>
      <c r="J5" s="5">
        <f t="shared" si="0"/>
        <v>27.691311559071195</v>
      </c>
      <c r="K5" s="5" t="e">
        <f t="shared" si="0"/>
        <v>#VALUE!</v>
      </c>
      <c r="L5" s="5">
        <f t="shared" si="0"/>
        <v>19.937204050411598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8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7124A-3F64-7149-A934-1CEBCF7B9CB9}">
  <sheetPr codeName="Sheet5"/>
  <dimension ref="A1:M7"/>
  <sheetViews>
    <sheetView workbookViewId="0">
      <selection activeCell="J25" sqref="J25"/>
    </sheetView>
  </sheetViews>
  <sheetFormatPr defaultColWidth="11.07421875" defaultRowHeight="15.5" x14ac:dyDescent="0.35"/>
  <sheetData>
    <row r="1" spans="1:13" s="7" customFormat="1" ht="26.5" customHeight="1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149.84</v>
      </c>
      <c r="D2" s="8" t="s">
        <v>8</v>
      </c>
      <c r="E2" s="6" t="s">
        <v>8</v>
      </c>
      <c r="F2" s="6" t="s">
        <v>8</v>
      </c>
      <c r="G2">
        <v>136.97</v>
      </c>
      <c r="H2" s="5">
        <f t="shared" ref="H2:L5" si="0">C2/C$2</f>
        <v>1</v>
      </c>
      <c r="I2" s="5" t="e">
        <f t="shared" si="0"/>
        <v>#VALUE!</v>
      </c>
      <c r="J2" s="5" t="e">
        <f t="shared" si="0"/>
        <v>#VALUE!</v>
      </c>
      <c r="K2" s="5" t="e">
        <f t="shared" si="0"/>
        <v>#VALUE!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1158.51</v>
      </c>
      <c r="D3" s="9" t="s">
        <v>8</v>
      </c>
      <c r="E3" s="6" t="s">
        <v>8</v>
      </c>
      <c r="F3" s="6" t="s">
        <v>8</v>
      </c>
      <c r="G3">
        <v>868.6</v>
      </c>
      <c r="H3" s="5">
        <f t="shared" si="0"/>
        <v>7.7316470902295782</v>
      </c>
      <c r="I3" s="5" t="e">
        <f t="shared" si="0"/>
        <v>#VALUE!</v>
      </c>
      <c r="J3" s="5" t="e">
        <f t="shared" si="0"/>
        <v>#VALUE!</v>
      </c>
      <c r="K3" s="5" t="e">
        <f t="shared" si="0"/>
        <v>#VALUE!</v>
      </c>
      <c r="L3" s="5">
        <f t="shared" si="0"/>
        <v>6.3415346426224719</v>
      </c>
      <c r="M3" s="2"/>
    </row>
    <row r="4" spans="1:13" s="1" customFormat="1" x14ac:dyDescent="0.3">
      <c r="A4" s="1">
        <v>2</v>
      </c>
      <c r="B4" s="1">
        <v>16</v>
      </c>
      <c r="C4">
        <v>2257.71</v>
      </c>
      <c r="D4" s="9" t="s">
        <v>8</v>
      </c>
      <c r="E4" s="6" t="s">
        <v>8</v>
      </c>
      <c r="F4" s="6" t="s">
        <v>8</v>
      </c>
      <c r="G4">
        <v>1631.36</v>
      </c>
      <c r="H4" s="5">
        <f t="shared" si="0"/>
        <v>15.067471970101442</v>
      </c>
      <c r="I4" s="5" t="e">
        <f t="shared" si="0"/>
        <v>#VALUE!</v>
      </c>
      <c r="J4" s="5" t="e">
        <f t="shared" si="0"/>
        <v>#VALUE!</v>
      </c>
      <c r="K4" s="5" t="e">
        <f t="shared" si="0"/>
        <v>#VALUE!</v>
      </c>
      <c r="L4" s="5">
        <f t="shared" si="0"/>
        <v>11.910345331094399</v>
      </c>
      <c r="M4" s="2"/>
    </row>
    <row r="5" spans="1:13" s="1" customFormat="1" x14ac:dyDescent="0.3">
      <c r="A5" s="1">
        <v>4</v>
      </c>
      <c r="B5" s="1">
        <v>32</v>
      </c>
      <c r="C5">
        <v>4455.97</v>
      </c>
      <c r="D5" s="9" t="s">
        <v>8</v>
      </c>
      <c r="E5" s="6" t="s">
        <v>8</v>
      </c>
      <c r="F5" s="6" t="s">
        <v>8</v>
      </c>
      <c r="G5">
        <v>3167.68</v>
      </c>
      <c r="H5" s="5">
        <f t="shared" si="0"/>
        <v>29.738187399893221</v>
      </c>
      <c r="I5" s="5" t="e">
        <f t="shared" si="0"/>
        <v>#VALUE!</v>
      </c>
      <c r="J5" s="5" t="e">
        <f t="shared" si="0"/>
        <v>#VALUE!</v>
      </c>
      <c r="K5" s="5" t="e">
        <f t="shared" si="0"/>
        <v>#VALUE!</v>
      </c>
      <c r="L5" s="5">
        <f t="shared" si="0"/>
        <v>23.12681609111484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8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9A53C-80CB-494C-805F-5B2FDB81B702}">
  <sheetPr codeName="Sheet1"/>
  <dimension ref="A1:N5"/>
  <sheetViews>
    <sheetView topLeftCell="A13" workbookViewId="0">
      <selection sqref="A1:N5"/>
    </sheetView>
  </sheetViews>
  <sheetFormatPr defaultColWidth="9.15234375" defaultRowHeight="14" x14ac:dyDescent="0.3"/>
  <cols>
    <col min="1" max="1" width="8.61328125" style="1" bestFit="1" customWidth="1"/>
    <col min="2" max="2" width="9.4609375" style="1" bestFit="1" customWidth="1"/>
    <col min="3" max="3" width="8.3828125" style="5" bestFit="1" customWidth="1"/>
    <col min="4" max="4" width="11.921875" style="5" bestFit="1" customWidth="1"/>
    <col min="5" max="6" width="8.3828125" style="5" bestFit="1" customWidth="1"/>
    <col min="7" max="7" width="11.15234375" style="1" bestFit="1" customWidth="1"/>
    <col min="8" max="8" width="11.921875" style="1" bestFit="1" customWidth="1"/>
    <col min="9" max="9" width="7.4609375" style="5" bestFit="1" customWidth="1"/>
    <col min="10" max="10" width="11.921875" style="5" bestFit="1" customWidth="1"/>
    <col min="11" max="11" width="6.15234375" style="5" bestFit="1" customWidth="1"/>
    <col min="12" max="12" width="6.84375" style="5" bestFit="1" customWidth="1"/>
    <col min="13" max="13" width="11.15234375" style="1" bestFit="1" customWidth="1"/>
    <col min="14" max="14" width="11.921875" style="1" bestFit="1" customWidth="1"/>
    <col min="15" max="15" width="7.4609375" style="1" bestFit="1" customWidth="1"/>
    <col min="16" max="16" width="6.84375" style="1" bestFit="1" customWidth="1"/>
    <col min="17" max="17" width="9.15234375" style="1" bestFit="1" customWidth="1"/>
    <col min="18" max="18" width="6" style="1" bestFit="1" customWidth="1"/>
    <col min="19" max="19" width="11.15234375" style="1" bestFit="1" customWidth="1"/>
    <col min="20" max="16384" width="9.15234375" style="1"/>
  </cols>
  <sheetData>
    <row r="1" spans="1:14" x14ac:dyDescent="0.3">
      <c r="A1" s="1" t="s">
        <v>1</v>
      </c>
      <c r="B1" s="1" t="s">
        <v>0</v>
      </c>
      <c r="C1" s="10" t="s">
        <v>2</v>
      </c>
      <c r="D1" s="10" t="s">
        <v>3</v>
      </c>
      <c r="E1" s="17" t="s">
        <v>25</v>
      </c>
      <c r="F1" s="10" t="s">
        <v>5</v>
      </c>
      <c r="G1" s="10" t="s">
        <v>6</v>
      </c>
      <c r="H1" s="10" t="s">
        <v>7</v>
      </c>
      <c r="I1" s="10" t="s">
        <v>2</v>
      </c>
      <c r="J1" s="12" t="s">
        <v>14</v>
      </c>
      <c r="K1" s="17" t="s">
        <v>25</v>
      </c>
      <c r="L1" s="10" t="s">
        <v>5</v>
      </c>
      <c r="M1" s="10" t="s">
        <v>6</v>
      </c>
      <c r="N1" s="12" t="s">
        <v>15</v>
      </c>
    </row>
    <row r="2" spans="1:14" x14ac:dyDescent="0.3">
      <c r="A2" s="1">
        <v>1</v>
      </c>
      <c r="B2" s="1">
        <v>1</v>
      </c>
      <c r="C2" s="5">
        <v>384.85</v>
      </c>
      <c r="D2" s="5">
        <v>362.44</v>
      </c>
      <c r="E2" s="8">
        <v>391.88</v>
      </c>
      <c r="F2" s="8">
        <v>354.4</v>
      </c>
      <c r="G2" s="5">
        <v>352.72</v>
      </c>
      <c r="H2" s="5">
        <v>321.8</v>
      </c>
      <c r="I2" s="5">
        <f t="shared" ref="I2:N5" si="0">C2/C$2</f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</row>
    <row r="3" spans="1:14" x14ac:dyDescent="0.3">
      <c r="A3" s="1">
        <v>1</v>
      </c>
      <c r="B3" s="1">
        <v>8</v>
      </c>
      <c r="C3" s="5">
        <v>2969.45</v>
      </c>
      <c r="D3" s="5">
        <v>2721.98</v>
      </c>
      <c r="E3" s="8">
        <v>2999.5</v>
      </c>
      <c r="F3" s="8">
        <v>2719.07</v>
      </c>
      <c r="G3" s="5">
        <v>2625.38</v>
      </c>
      <c r="H3" s="5">
        <v>2458.7399999999998</v>
      </c>
      <c r="I3" s="5">
        <f t="shared" si="0"/>
        <v>7.7158633233727416</v>
      </c>
      <c r="J3" s="5">
        <f t="shared" si="0"/>
        <v>7.5101534047014677</v>
      </c>
      <c r="K3" s="5">
        <f t="shared" si="0"/>
        <v>7.6541288149433502</v>
      </c>
      <c r="L3" s="5">
        <f t="shared" si="0"/>
        <v>7.6723194130925521</v>
      </c>
      <c r="M3" s="5">
        <f t="shared" si="0"/>
        <v>7.4432410977545924</v>
      </c>
      <c r="N3" s="5">
        <f t="shared" si="0"/>
        <v>7.6405842137973892</v>
      </c>
    </row>
    <row r="4" spans="1:14" x14ac:dyDescent="0.3">
      <c r="A4" s="1">
        <v>2</v>
      </c>
      <c r="B4" s="1">
        <v>16</v>
      </c>
      <c r="C4" s="5">
        <v>5906.55</v>
      </c>
      <c r="D4" s="5">
        <v>5099.42</v>
      </c>
      <c r="E4" s="8">
        <v>5712.53</v>
      </c>
      <c r="F4" s="8">
        <v>5307.21</v>
      </c>
      <c r="G4" s="5">
        <v>4895.2700000000004</v>
      </c>
      <c r="H4" s="5">
        <v>4849.68</v>
      </c>
      <c r="I4" s="5">
        <f t="shared" si="0"/>
        <v>15.347667922567233</v>
      </c>
      <c r="J4" s="5">
        <f t="shared" si="0"/>
        <v>14.069694294228011</v>
      </c>
      <c r="K4" s="5">
        <f t="shared" si="0"/>
        <v>14.577243033581707</v>
      </c>
      <c r="L4" s="5">
        <f t="shared" si="0"/>
        <v>14.975197516930024</v>
      </c>
      <c r="M4" s="5">
        <f t="shared" si="0"/>
        <v>13.878628940802903</v>
      </c>
      <c r="N4" s="5">
        <f t="shared" si="0"/>
        <v>15.070478558110628</v>
      </c>
    </row>
    <row r="5" spans="1:14" x14ac:dyDescent="0.3">
      <c r="A5" s="1">
        <v>4</v>
      </c>
      <c r="B5" s="1">
        <v>32</v>
      </c>
      <c r="C5" s="5">
        <v>11711.18</v>
      </c>
      <c r="D5" s="5">
        <v>9514.64</v>
      </c>
      <c r="E5" s="8">
        <v>11233.92</v>
      </c>
      <c r="F5" s="8">
        <v>10632.33</v>
      </c>
      <c r="G5" s="5">
        <v>9348.17</v>
      </c>
      <c r="H5" s="5">
        <v>9418.44</v>
      </c>
      <c r="I5" s="5">
        <f t="shared" si="0"/>
        <v>30.430505391711055</v>
      </c>
      <c r="J5" s="5">
        <f t="shared" si="0"/>
        <v>26.251627855645072</v>
      </c>
      <c r="K5" s="5">
        <f t="shared" si="0"/>
        <v>28.666734714708586</v>
      </c>
      <c r="L5" s="5">
        <f t="shared" si="0"/>
        <v>30.000931151241538</v>
      </c>
      <c r="M5" s="5">
        <f t="shared" si="0"/>
        <v>26.503090269902469</v>
      </c>
      <c r="N5" s="5">
        <f t="shared" si="0"/>
        <v>29.267992541951525</v>
      </c>
    </row>
  </sheetData>
  <phoneticPr fontId="8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DD0B-9549-4439-B5F3-60A8261AE326}">
  <sheetPr codeName="Sheet6"/>
  <dimension ref="A1:R7"/>
  <sheetViews>
    <sheetView workbookViewId="0">
      <selection activeCell="I33" sqref="I33"/>
    </sheetView>
  </sheetViews>
  <sheetFormatPr defaultColWidth="11.07421875" defaultRowHeight="15.5" x14ac:dyDescent="0.35"/>
  <sheetData>
    <row r="1" spans="1:18" s="7" customFormat="1" ht="26.5" customHeight="1" x14ac:dyDescent="0.3">
      <c r="A1" s="7" t="s">
        <v>1</v>
      </c>
      <c r="B1" s="7" t="s">
        <v>0</v>
      </c>
      <c r="C1" s="13" t="s">
        <v>16</v>
      </c>
      <c r="D1" s="13" t="s">
        <v>17</v>
      </c>
      <c r="E1" s="13" t="s">
        <v>20</v>
      </c>
      <c r="F1" s="11" t="s">
        <v>19</v>
      </c>
      <c r="G1" s="13" t="s">
        <v>18</v>
      </c>
      <c r="H1" s="13" t="s">
        <v>16</v>
      </c>
      <c r="I1" s="13" t="s">
        <v>17</v>
      </c>
      <c r="J1" s="13" t="s">
        <v>20</v>
      </c>
      <c r="K1" s="11" t="s">
        <v>19</v>
      </c>
      <c r="L1" s="13" t="s">
        <v>18</v>
      </c>
      <c r="M1" s="15">
        <v>96</v>
      </c>
      <c r="N1" s="15">
        <v>64</v>
      </c>
      <c r="O1" s="15">
        <v>48</v>
      </c>
      <c r="P1" s="16">
        <v>32</v>
      </c>
      <c r="Q1" s="15">
        <v>24</v>
      </c>
    </row>
    <row r="2" spans="1:18" s="1" customFormat="1" x14ac:dyDescent="0.3">
      <c r="A2" s="1">
        <v>1</v>
      </c>
      <c r="B2" s="1">
        <v>1</v>
      </c>
      <c r="C2">
        <v>149.84</v>
      </c>
      <c r="D2" s="8">
        <v>149.81</v>
      </c>
      <c r="E2" s="8">
        <v>148.01</v>
      </c>
      <c r="F2" s="8">
        <v>145.21</v>
      </c>
      <c r="G2">
        <v>139.97999999999999</v>
      </c>
      <c r="H2" s="5">
        <f t="shared" ref="H2:L5" si="0">C2/C$2</f>
        <v>1</v>
      </c>
      <c r="I2" s="5">
        <f t="shared" si="0"/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3">
        <f>M$1/C2*$B2*1000</f>
        <v>640.68339562199685</v>
      </c>
      <c r="N2" s="3">
        <f t="shared" ref="N2:Q5" si="1">N$1/D2*$B2*1000</f>
        <v>427.20779654228693</v>
      </c>
      <c r="O2" s="3">
        <f t="shared" si="1"/>
        <v>324.30241199918925</v>
      </c>
      <c r="P2" s="3">
        <f t="shared" si="1"/>
        <v>220.37049789959369</v>
      </c>
      <c r="Q2" s="3">
        <f t="shared" si="1"/>
        <v>171.45306472353195</v>
      </c>
      <c r="R2" s="14" t="s">
        <v>21</v>
      </c>
    </row>
    <row r="3" spans="1:18" s="1" customFormat="1" x14ac:dyDescent="0.3">
      <c r="A3" s="1">
        <v>1</v>
      </c>
      <c r="B3" s="1">
        <v>8</v>
      </c>
      <c r="C3">
        <v>1158.51</v>
      </c>
      <c r="D3" s="9">
        <v>1138.8900000000001</v>
      </c>
      <c r="E3" s="9">
        <v>1103.01</v>
      </c>
      <c r="F3" s="9">
        <v>1042.98</v>
      </c>
      <c r="G3">
        <v>985.1</v>
      </c>
      <c r="H3" s="5">
        <f t="shared" si="0"/>
        <v>7.7316470902295782</v>
      </c>
      <c r="I3" s="5">
        <f t="shared" si="0"/>
        <v>7.602229490688206</v>
      </c>
      <c r="J3" s="5">
        <f t="shared" si="0"/>
        <v>7.4522667387338695</v>
      </c>
      <c r="K3" s="5">
        <f t="shared" si="0"/>
        <v>7.1825631843536941</v>
      </c>
      <c r="L3" s="5">
        <f t="shared" si="0"/>
        <v>7.0374339191313053</v>
      </c>
      <c r="M3" s="3">
        <f t="shared" ref="M3:M5" si="2">M$1/C3*$B3*1000</f>
        <v>662.92047543827846</v>
      </c>
      <c r="N3" s="3">
        <f t="shared" si="1"/>
        <v>449.5605370141102</v>
      </c>
      <c r="O3" s="3">
        <f t="shared" si="1"/>
        <v>348.13827617156687</v>
      </c>
      <c r="P3" s="3">
        <f t="shared" si="1"/>
        <v>245.45053596425626</v>
      </c>
      <c r="Q3" s="3">
        <f t="shared" si="1"/>
        <v>194.90407065272561</v>
      </c>
      <c r="R3" s="14" t="s">
        <v>22</v>
      </c>
    </row>
    <row r="4" spans="1:18" s="1" customFormat="1" x14ac:dyDescent="0.3">
      <c r="A4" s="1">
        <v>2</v>
      </c>
      <c r="B4" s="1">
        <v>16</v>
      </c>
      <c r="C4">
        <v>2257.71</v>
      </c>
      <c r="D4" s="9">
        <v>2189.3000000000002</v>
      </c>
      <c r="E4" s="9">
        <v>2078.66</v>
      </c>
      <c r="F4" s="9">
        <v>1890.26</v>
      </c>
      <c r="G4">
        <v>1700.05</v>
      </c>
      <c r="H4" s="5">
        <f t="shared" si="0"/>
        <v>15.067471970101442</v>
      </c>
      <c r="I4" s="5">
        <f t="shared" si="0"/>
        <v>14.613844202656699</v>
      </c>
      <c r="J4" s="5">
        <f t="shared" si="0"/>
        <v>14.04405107762989</v>
      </c>
      <c r="K4" s="5">
        <f t="shared" si="0"/>
        <v>13.017423042490186</v>
      </c>
      <c r="L4" s="5">
        <f t="shared" si="0"/>
        <v>12.144949278468353</v>
      </c>
      <c r="M4" s="3">
        <f t="shared" si="2"/>
        <v>680.33538408387267</v>
      </c>
      <c r="N4" s="3">
        <f t="shared" si="1"/>
        <v>467.72941122733289</v>
      </c>
      <c r="O4" s="3">
        <f t="shared" si="1"/>
        <v>369.46879239510071</v>
      </c>
      <c r="P4" s="3">
        <f t="shared" si="1"/>
        <v>270.86220943150681</v>
      </c>
      <c r="Q4" s="3">
        <f t="shared" si="1"/>
        <v>225.87570953795478</v>
      </c>
      <c r="R4" s="14" t="s">
        <v>23</v>
      </c>
    </row>
    <row r="5" spans="1:18" s="1" customFormat="1" x14ac:dyDescent="0.3">
      <c r="A5" s="1">
        <v>4</v>
      </c>
      <c r="B5" s="1">
        <v>32</v>
      </c>
      <c r="C5">
        <v>4455.97</v>
      </c>
      <c r="D5" s="9">
        <v>4310.42</v>
      </c>
      <c r="E5" s="9">
        <v>4090.99</v>
      </c>
      <c r="F5" s="9">
        <v>3715.08</v>
      </c>
      <c r="G5">
        <v>3312.17</v>
      </c>
      <c r="H5" s="5">
        <f t="shared" si="0"/>
        <v>29.738187399893221</v>
      </c>
      <c r="I5" s="5">
        <f t="shared" si="0"/>
        <v>28.772578599559441</v>
      </c>
      <c r="J5" s="5">
        <f t="shared" si="0"/>
        <v>27.639956759678402</v>
      </c>
      <c r="K5" s="5">
        <f t="shared" si="0"/>
        <v>25.584188416775703</v>
      </c>
      <c r="L5" s="5">
        <f t="shared" si="0"/>
        <v>23.661737391055869</v>
      </c>
      <c r="M5" s="3">
        <f t="shared" si="2"/>
        <v>689.41218185939317</v>
      </c>
      <c r="N5" s="3">
        <f t="shared" si="1"/>
        <v>475.12771377267183</v>
      </c>
      <c r="O5" s="3">
        <f t="shared" si="1"/>
        <v>375.45924091723521</v>
      </c>
      <c r="P5" s="3">
        <f t="shared" si="1"/>
        <v>275.63336455742541</v>
      </c>
      <c r="Q5" s="3">
        <f t="shared" si="1"/>
        <v>231.87215632047872</v>
      </c>
      <c r="R5" s="14" t="s">
        <v>24</v>
      </c>
    </row>
    <row r="6" spans="1:18" x14ac:dyDescent="0.3">
      <c r="A6" s="1"/>
      <c r="B6" s="1"/>
      <c r="C6" s="1"/>
      <c r="D6" s="5"/>
      <c r="E6" s="5"/>
      <c r="F6" s="1"/>
      <c r="H6" s="4"/>
    </row>
    <row r="7" spans="1:18" x14ac:dyDescent="0.3">
      <c r="A7" s="1"/>
      <c r="B7" s="1"/>
      <c r="C7" s="1"/>
      <c r="D7" s="5"/>
      <c r="E7" s="5"/>
      <c r="F7" s="1"/>
      <c r="H7" s="3"/>
    </row>
  </sheetData>
  <phoneticPr fontId="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r50_fp32_bz128</vt:lpstr>
      <vt:lpstr>r50_amp_bz256</vt:lpstr>
      <vt:lpstr>bert_fp32_bz32</vt:lpstr>
      <vt:lpstr>bert_fp32_bz_max</vt:lpstr>
      <vt:lpstr>bert_amp_bz64</vt:lpstr>
      <vt:lpstr>bert_amp_bz_max</vt:lpstr>
      <vt:lpstr>old_bert_base_bz_32</vt:lpstr>
      <vt:lpstr>old_bert_base_bz_64</vt:lpstr>
      <vt:lpstr>old_bert_base_bz_96</vt:lpstr>
      <vt:lpstr>old_r50_bz128</vt:lpstr>
      <vt:lpstr>old_of_bert_base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oneflow</cp:lastModifiedBy>
  <dcterms:created xsi:type="dcterms:W3CDTF">2020-08-13T06:24:52Z</dcterms:created>
  <dcterms:modified xsi:type="dcterms:W3CDTF">2020-10-10T07:05:10Z</dcterms:modified>
</cp:coreProperties>
</file>